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e63c3c1b071bac/Documentos/GitHub/Curso-de-SIS---TOLEDO-PRUDENTE-/Prof Mário/Sistema de informação/"/>
    </mc:Choice>
  </mc:AlternateContent>
  <xr:revisionPtr revIDLastSave="709" documentId="8_{12F9A2AA-06C2-4C09-899D-F3B608A7CA93}" xr6:coauthVersionLast="47" xr6:coauthVersionMax="47" xr10:uidLastSave="{C1AA5CB2-F4AF-433A-B3D0-79907112527B}"/>
  <bookViews>
    <workbookView xWindow="-120" yWindow="-120" windowWidth="29040" windowHeight="15720" activeTab="7" xr2:uid="{8E82923D-454A-4E0C-9D6E-723723B5E74F}"/>
  </bookViews>
  <sheets>
    <sheet name="Fornecedores" sheetId="4" r:id="rId1"/>
    <sheet name="Produtos" sheetId="5" r:id="rId2"/>
    <sheet name="Relátorios" sheetId="8" r:id="rId3"/>
    <sheet name="Td6" sheetId="16" r:id="rId4"/>
    <sheet name="Td7" sheetId="17" r:id="rId5"/>
    <sheet name="Td8" sheetId="18" r:id="rId6"/>
    <sheet name="Td9" sheetId="19" r:id="rId7"/>
    <sheet name="Td10" sheetId="20" r:id="rId8"/>
    <sheet name="Saída" sheetId="6" r:id="rId9"/>
    <sheet name="Clientes" sheetId="1" r:id="rId10"/>
    <sheet name="Modelagem" sheetId="3" r:id="rId11"/>
    <sheet name="Td1" sheetId="10" r:id="rId12"/>
    <sheet name="Td2" sheetId="11" r:id="rId13"/>
    <sheet name="Td3" sheetId="12" r:id="rId14"/>
    <sheet name="Td4" sheetId="14" r:id="rId15"/>
    <sheet name="Td5" sheetId="15" r:id="rId16"/>
    <sheet name="Entrada" sheetId="7" r:id="rId17"/>
  </sheets>
  <definedNames>
    <definedName name="_xlnm._FilterDatabase" localSheetId="16" hidden="1">Entrada!$A$9:$G$109</definedName>
    <definedName name="_xlnm._FilterDatabase" localSheetId="1" hidden="1">Produtos!$A$11:$I$31</definedName>
    <definedName name="_xlnm._FilterDatabase" localSheetId="8" hidden="1">Saída!$A$10:$H$210</definedName>
    <definedName name="_xleta.AND" hidden="1" xlm="1">#NAME?</definedName>
    <definedName name="_xleta.TODAY" hidden="1" xlm="1">#NAME?</definedName>
  </definedNames>
  <calcPr calcId="191029"/>
  <pivotCaches>
    <pivotCache cacheId="24" r:id="rId18"/>
    <pivotCache cacheId="3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5" l="1"/>
  <c r="E14" i="5"/>
  <c r="F18" i="5"/>
  <c r="E18" i="5"/>
  <c r="F16" i="5"/>
  <c r="E16" i="5"/>
  <c r="F31" i="5"/>
  <c r="E31" i="5"/>
  <c r="F21" i="5"/>
  <c r="E21" i="5"/>
  <c r="F28" i="5"/>
  <c r="E28" i="5"/>
  <c r="F24" i="5"/>
  <c r="E24" i="5"/>
  <c r="F17" i="5"/>
  <c r="E17" i="5"/>
  <c r="F12" i="5"/>
  <c r="E12" i="5"/>
  <c r="F23" i="5"/>
  <c r="E23" i="5"/>
  <c r="F26" i="5"/>
  <c r="E26" i="5"/>
  <c r="F25" i="5"/>
  <c r="E25" i="5"/>
  <c r="F29" i="5"/>
  <c r="E29" i="5"/>
  <c r="F15" i="5"/>
  <c r="E15" i="5"/>
  <c r="F13" i="5"/>
  <c r="E13" i="5"/>
  <c r="F20" i="5"/>
  <c r="E20" i="5"/>
  <c r="F19" i="5"/>
  <c r="E19" i="5"/>
  <c r="F30" i="5"/>
  <c r="E30" i="5"/>
  <c r="F27" i="5"/>
  <c r="E27" i="5"/>
  <c r="F22" i="5"/>
  <c r="E22" i="5"/>
  <c r="B3" i="5"/>
  <c r="B2" i="5"/>
  <c r="A23" i="7"/>
  <c r="A33" i="7"/>
  <c r="A100" i="7"/>
  <c r="A34" i="7"/>
  <c r="A104" i="7"/>
  <c r="A35" i="7"/>
  <c r="A18" i="7"/>
  <c r="A36" i="7"/>
  <c r="A108" i="7"/>
  <c r="A37" i="7"/>
  <c r="A93" i="7"/>
  <c r="A38" i="7"/>
  <c r="A39" i="7"/>
  <c r="A40" i="7"/>
  <c r="A101" i="7"/>
  <c r="A41" i="7"/>
  <c r="A42" i="7"/>
  <c r="A24" i="7"/>
  <c r="A43" i="7"/>
  <c r="A109" i="7"/>
  <c r="A44" i="7"/>
  <c r="A45" i="7"/>
  <c r="A99" i="7"/>
  <c r="A46" i="7"/>
  <c r="A47" i="7"/>
  <c r="A106" i="7"/>
  <c r="A48" i="7"/>
  <c r="A49" i="7"/>
  <c r="A17" i="7"/>
  <c r="A50" i="7"/>
  <c r="A51" i="7"/>
  <c r="A14" i="7"/>
  <c r="A52" i="7"/>
  <c r="A53" i="7"/>
  <c r="A15" i="7"/>
  <c r="A54" i="7"/>
  <c r="A55" i="7"/>
  <c r="A56" i="7"/>
  <c r="A57" i="7"/>
  <c r="A58" i="7"/>
  <c r="A59" i="7"/>
  <c r="A60" i="7"/>
  <c r="A16" i="7"/>
  <c r="A61" i="7"/>
  <c r="A62" i="7"/>
  <c r="A94" i="7"/>
  <c r="A63" i="7"/>
  <c r="A64" i="7"/>
  <c r="A65" i="7"/>
  <c r="A66" i="7"/>
  <c r="A67" i="7"/>
  <c r="A68" i="7"/>
  <c r="A103" i="7"/>
  <c r="A69" i="7"/>
  <c r="A70" i="7"/>
  <c r="A71" i="7"/>
  <c r="A97" i="7"/>
  <c r="A72" i="7"/>
  <c r="A102" i="7"/>
  <c r="A73" i="7"/>
  <c r="A105" i="7"/>
  <c r="A98" i="7"/>
  <c r="A107" i="7"/>
  <c r="A74" i="7"/>
  <c r="A75" i="7"/>
  <c r="A96" i="7"/>
  <c r="A76" i="7"/>
  <c r="A77" i="7"/>
  <c r="A78" i="7"/>
  <c r="A79" i="7"/>
  <c r="A80" i="7"/>
  <c r="A25" i="7"/>
  <c r="A88" i="7"/>
  <c r="A89" i="7"/>
  <c r="A31" i="7"/>
  <c r="A90" i="7"/>
  <c r="A29" i="7"/>
  <c r="A81" i="7"/>
  <c r="A82" i="7"/>
  <c r="A26" i="7"/>
  <c r="A91" i="7"/>
  <c r="A92" i="7"/>
  <c r="A30" i="7"/>
  <c r="A27" i="7"/>
  <c r="A83" i="7"/>
  <c r="A84" i="7"/>
  <c r="A21" i="7"/>
  <c r="A22" i="7"/>
  <c r="A11" i="7"/>
  <c r="A12" i="7"/>
  <c r="A13" i="7"/>
  <c r="A85" i="7"/>
  <c r="A28" i="7"/>
  <c r="A86" i="7"/>
  <c r="A20" i="7"/>
  <c r="A87" i="7"/>
  <c r="A10" i="7"/>
  <c r="A95" i="7"/>
  <c r="A19" i="7"/>
  <c r="A32" i="7"/>
  <c r="B1" i="6"/>
  <c r="B2" i="6"/>
  <c r="B4" i="6"/>
  <c r="B5" i="6"/>
  <c r="B8" i="6"/>
  <c r="B1" i="7"/>
  <c r="D14" i="5" l="1"/>
  <c r="I14" i="5" s="1"/>
  <c r="D12" i="5"/>
  <c r="I12" i="5" s="1"/>
  <c r="D31" i="5"/>
  <c r="I31" i="5" s="1"/>
  <c r="D15" i="5"/>
  <c r="I15" i="5" s="1"/>
  <c r="D17" i="5"/>
  <c r="I17" i="5" s="1"/>
  <c r="D16" i="5"/>
  <c r="I16" i="5" s="1"/>
  <c r="D21" i="5"/>
  <c r="I21" i="5" s="1"/>
  <c r="D24" i="5"/>
  <c r="I24" i="5" s="1"/>
  <c r="D18" i="5"/>
  <c r="I18" i="5" s="1"/>
  <c r="D28" i="5"/>
  <c r="I28" i="5" s="1"/>
  <c r="D20" i="5"/>
  <c r="I20" i="5" s="1"/>
  <c r="D23" i="5"/>
  <c r="I23" i="5" s="1"/>
  <c r="D26" i="5"/>
  <c r="I26" i="5" s="1"/>
  <c r="D25" i="5"/>
  <c r="I25" i="5" s="1"/>
  <c r="D27" i="5"/>
  <c r="I27" i="5" s="1"/>
  <c r="D29" i="5"/>
  <c r="I29" i="5" s="1"/>
  <c r="D13" i="5"/>
  <c r="I13" i="5" s="1"/>
  <c r="D19" i="5"/>
  <c r="I19" i="5" s="1"/>
  <c r="D30" i="5"/>
  <c r="I30" i="5" s="1"/>
  <c r="D22" i="5"/>
  <c r="I22" i="5" s="1"/>
</calcChain>
</file>

<file path=xl/sharedStrings.xml><?xml version="1.0" encoding="utf-8"?>
<sst xmlns="http://schemas.openxmlformats.org/spreadsheetml/2006/main" count="3828" uniqueCount="697">
  <si>
    <t>Estado</t>
  </si>
  <si>
    <t>Endereço</t>
  </si>
  <si>
    <t>Cidade</t>
  </si>
  <si>
    <t>Fone</t>
  </si>
  <si>
    <t>CPF</t>
  </si>
  <si>
    <t>Nome</t>
  </si>
  <si>
    <t>incluir</t>
  </si>
  <si>
    <t>excluir</t>
  </si>
  <si>
    <t>apagar</t>
  </si>
  <si>
    <t>SP</t>
  </si>
  <si>
    <t>Ana Paula Mendes</t>
  </si>
  <si>
    <t>123.456.789-01</t>
  </si>
  <si>
    <t>(11) 99876-1234</t>
  </si>
  <si>
    <t>São Paulo</t>
  </si>
  <si>
    <t>Rua das Flores, 120 – Bela Vista</t>
  </si>
  <si>
    <t>987.654.321-00</t>
  </si>
  <si>
    <t>João Carlos Ribeiro</t>
  </si>
  <si>
    <t>(11) 99765-4321</t>
  </si>
  <si>
    <t>Guarulhos</t>
  </si>
  <si>
    <t>Av. Paulista, 950 – Centro</t>
  </si>
  <si>
    <t>234.567.890-12</t>
  </si>
  <si>
    <t>Fernanda Lima</t>
  </si>
  <si>
    <t>(21) 98877-3344</t>
  </si>
  <si>
    <t>Rio de Janeiro</t>
  </si>
  <si>
    <t>RJ</t>
  </si>
  <si>
    <t>Rua Atlântica, 350 – Copacabana</t>
  </si>
  <si>
    <t>345.678.901-23</t>
  </si>
  <si>
    <t>Marcos Silva</t>
  </si>
  <si>
    <t>(31) 98888-5566</t>
  </si>
  <si>
    <t>Belo Horizonte</t>
  </si>
  <si>
    <t>MG</t>
  </si>
  <si>
    <t>Av. Afonso Pena, 1050 – Centro</t>
  </si>
  <si>
    <t>456.789.012-34</t>
  </si>
  <si>
    <t>Camila Rocha</t>
  </si>
  <si>
    <t>(19) 98765-7788</t>
  </si>
  <si>
    <t>Campinas</t>
  </si>
  <si>
    <t>Rua Barão de Jaguara, 210 – Cambuí</t>
  </si>
  <si>
    <t>67.890.123-45</t>
  </si>
  <si>
    <t>Pedro Henrique Souza</t>
  </si>
  <si>
    <t>(41) 97654-8899</t>
  </si>
  <si>
    <t>Curitiba</t>
  </si>
  <si>
    <t>PR</t>
  </si>
  <si>
    <t>Rua XV de Novembro, 400 – Centro</t>
  </si>
  <si>
    <t>999.000.111-22</t>
  </si>
  <si>
    <t>Gabriela Torres</t>
  </si>
  <si>
    <t>(86) 94321-1414</t>
  </si>
  <si>
    <t>Teresina</t>
  </si>
  <si>
    <t>PI</t>
  </si>
  <si>
    <t>Av. Frei Serafim, 300 – Centro</t>
  </si>
  <si>
    <t>666.777.888-99</t>
  </si>
  <si>
    <t>Thiago Correia</t>
  </si>
  <si>
    <t>(95) 97654-1010</t>
  </si>
  <si>
    <t>Boa Vista</t>
  </si>
  <si>
    <t>RR</t>
  </si>
  <si>
    <t>Rua Sebastião Diniz, 85 – Centro</t>
  </si>
  <si>
    <t>111.222.333-44</t>
  </si>
  <si>
    <t>Tatiane Martins</t>
  </si>
  <si>
    <t>(27) 92109-5566</t>
  </si>
  <si>
    <t>Vitória</t>
  </si>
  <si>
    <t>ES</t>
  </si>
  <si>
    <t>Rua Sete de Setembro, 45 – Centro</t>
  </si>
  <si>
    <t>901.234.567-89</t>
  </si>
  <si>
    <t>Lucas Oliveira</t>
  </si>
  <si>
    <t>(61) 93210-4455</t>
  </si>
  <si>
    <t>Brasília</t>
  </si>
  <si>
    <t>DF</t>
  </si>
  <si>
    <t>SQS 308, Bloco A, Apt. 201 – Asa Sul</t>
  </si>
  <si>
    <t>890.123.456-78</t>
  </si>
  <si>
    <t>Beatriz Fernandes</t>
  </si>
  <si>
    <t>(85) 94321-3344</t>
  </si>
  <si>
    <t>Fortaleza</t>
  </si>
  <si>
    <t>CE</t>
  </si>
  <si>
    <t>Av. Beira Mar, 980 – Meireles</t>
  </si>
  <si>
    <t>555.666.777-88</t>
  </si>
  <si>
    <t>Patrícia Andrade</t>
  </si>
  <si>
    <t>(82) 98765-9900</t>
  </si>
  <si>
    <t>Maceió</t>
  </si>
  <si>
    <t>AL</t>
  </si>
  <si>
    <t>Av. Fernandes Lima, 3200 – Farol</t>
  </si>
  <si>
    <t>Telefone</t>
  </si>
  <si>
    <t>Responsável</t>
  </si>
  <si>
    <t>Email</t>
  </si>
  <si>
    <t>333.444.555-66</t>
  </si>
  <si>
    <t>Carolina Barbosa</t>
  </si>
  <si>
    <t>(13) 90987-7788</t>
  </si>
  <si>
    <t>Santos</t>
  </si>
  <si>
    <t>Av. Ana Costa, 200 – Gonzaga</t>
  </si>
  <si>
    <t>444.555.666-77</t>
  </si>
  <si>
    <t>Eduardo Farias</t>
  </si>
  <si>
    <t>(81) 99876-8899</t>
  </si>
  <si>
    <t>Recife</t>
  </si>
  <si>
    <t>PE</t>
  </si>
  <si>
    <t>Rua da Aurora, 710 – Boa Vista</t>
  </si>
  <si>
    <t>777.888.999-00</t>
  </si>
  <si>
    <t>Débora Nascimento</t>
  </si>
  <si>
    <t>(96) 96543-1212</t>
  </si>
  <si>
    <t>Macapá</t>
  </si>
  <si>
    <t>AP</t>
  </si>
  <si>
    <t>Av. FAB, 560 – Central</t>
  </si>
  <si>
    <t>888.999.000-11</t>
  </si>
  <si>
    <t>Vinícius Pires</t>
  </si>
  <si>
    <t>(98) 95432-1313</t>
  </si>
  <si>
    <t>São Luís</t>
  </si>
  <si>
    <t>MA</t>
  </si>
  <si>
    <t>Rua Grande, 1010 – Centro</t>
  </si>
  <si>
    <t>000.111.222-33</t>
  </si>
  <si>
    <t>Felipe Carvalho</t>
  </si>
  <si>
    <t>(92) 93210-1515</t>
  </si>
  <si>
    <t>Manaus</t>
  </si>
  <si>
    <t>AM</t>
  </si>
  <si>
    <t>Av. Eduardo Ribeiro, 720 – Centro</t>
  </si>
  <si>
    <t>Cod . Prod</t>
  </si>
  <si>
    <t>Produto</t>
  </si>
  <si>
    <t>Tipo</t>
  </si>
  <si>
    <t>Estoque</t>
  </si>
  <si>
    <t>Total Ent</t>
  </si>
  <si>
    <t>Total Exit</t>
  </si>
  <si>
    <t>Ponto de pedido</t>
  </si>
  <si>
    <t>Estoque min</t>
  </si>
  <si>
    <t>Status</t>
  </si>
  <si>
    <t>Inserir</t>
  </si>
  <si>
    <t>Apagar</t>
  </si>
  <si>
    <t>Data</t>
  </si>
  <si>
    <t>ID</t>
  </si>
  <si>
    <t>Qtde</t>
  </si>
  <si>
    <t>NFS</t>
  </si>
  <si>
    <t>Alimento</t>
  </si>
  <si>
    <t>tipo</t>
  </si>
  <si>
    <t>qtde</t>
  </si>
  <si>
    <t>Cod clie</t>
  </si>
  <si>
    <t>cliente</t>
  </si>
  <si>
    <t>Nome da Empresa</t>
  </si>
  <si>
    <t>Fornecedor Responsável</t>
  </si>
  <si>
    <t>Macarrão</t>
  </si>
  <si>
    <t>limpar</t>
  </si>
  <si>
    <t>inserir</t>
  </si>
  <si>
    <t>Bebida</t>
  </si>
  <si>
    <t>Limpeza</t>
  </si>
  <si>
    <t>Higiene</t>
  </si>
  <si>
    <t>Bolacha</t>
  </si>
  <si>
    <t>Casa das Ofertas</t>
  </si>
  <si>
    <t>Atacadão Norte</t>
  </si>
  <si>
    <t>Creme dental</t>
  </si>
  <si>
    <t>Congelado</t>
  </si>
  <si>
    <t>Mercadinho Central</t>
  </si>
  <si>
    <t>Alimentos Brasil</t>
  </si>
  <si>
    <t>Detergente</t>
  </si>
  <si>
    <t>Fornec Ltda</t>
  </si>
  <si>
    <t>Coxinha</t>
  </si>
  <si>
    <t>Mercadão Popular</t>
  </si>
  <si>
    <t>Sul Distribuidora</t>
  </si>
  <si>
    <t>Mamão</t>
  </si>
  <si>
    <t>Temperos</t>
  </si>
  <si>
    <t>Bom Preço</t>
  </si>
  <si>
    <t>Açúcar</t>
  </si>
  <si>
    <t>Super Econômico</t>
  </si>
  <si>
    <t>Sorvete</t>
  </si>
  <si>
    <t>Pizza congelada</t>
  </si>
  <si>
    <t>Pastilha</t>
  </si>
  <si>
    <t>Linguiça</t>
  </si>
  <si>
    <t>Molho inglês</t>
  </si>
  <si>
    <t>Polpa de fruta</t>
  </si>
  <si>
    <t>Frango</t>
  </si>
  <si>
    <t>Distribuidora Silva</t>
  </si>
  <si>
    <t>Sabão em pó</t>
  </si>
  <si>
    <t>Sardinha</t>
  </si>
  <si>
    <t>Leite</t>
  </si>
  <si>
    <t>Pastel</t>
  </si>
  <si>
    <t>Mostarda</t>
  </si>
  <si>
    <t>Iogurte</t>
  </si>
  <si>
    <t>Grão de bico</t>
  </si>
  <si>
    <t>Uva</t>
  </si>
  <si>
    <t>Creme de leite</t>
  </si>
  <si>
    <t>Banana</t>
  </si>
  <si>
    <t>Maçã</t>
  </si>
  <si>
    <t>Queijo</t>
  </si>
  <si>
    <t>Farofa</t>
  </si>
  <si>
    <t>Suco</t>
  </si>
  <si>
    <t>Shoyu</t>
  </si>
  <si>
    <t>Presunto</t>
  </si>
  <si>
    <t>Cebola</t>
  </si>
  <si>
    <t>Papel higiênico</t>
  </si>
  <si>
    <t>Tomate</t>
  </si>
  <si>
    <t>Maionese</t>
  </si>
  <si>
    <t>Lentilha</t>
  </si>
  <si>
    <t>Pudim</t>
  </si>
  <si>
    <t>Salsicha</t>
  </si>
  <si>
    <t>Granola</t>
  </si>
  <si>
    <t>Batata frita congelada</t>
  </si>
  <si>
    <t>Amaciante</t>
  </si>
  <si>
    <t>Gelatina</t>
  </si>
  <si>
    <t>Laranja</t>
  </si>
  <si>
    <t>Molho de pimenta</t>
  </si>
  <si>
    <t>Alface</t>
  </si>
  <si>
    <t>Aveia</t>
  </si>
  <si>
    <t>Esfiha</t>
  </si>
  <si>
    <t>Álcool</t>
  </si>
  <si>
    <t>Escova de dentes</t>
  </si>
  <si>
    <t>Batata</t>
  </si>
  <si>
    <t>Pimenta</t>
  </si>
  <si>
    <t>Whisky</t>
  </si>
  <si>
    <t>Carne bovina</t>
  </si>
  <si>
    <t>Fósforo</t>
  </si>
  <si>
    <t>Desinfetante</t>
  </si>
  <si>
    <t>Esponja</t>
  </si>
  <si>
    <t>Chá</t>
  </si>
  <si>
    <t>Condicionador</t>
  </si>
  <si>
    <t>Sabonete</t>
  </si>
  <si>
    <t>Refrigerante</t>
  </si>
  <si>
    <t>Repolho</t>
  </si>
  <si>
    <t>Leite condensado</t>
  </si>
  <si>
    <t>Peixe</t>
  </si>
  <si>
    <t>Ervilha</t>
  </si>
  <si>
    <t>Biscoito</t>
  </si>
  <si>
    <t>Café</t>
  </si>
  <si>
    <t>Av. Brasil, 456</t>
  </si>
  <si>
    <t>Rua XV de Novembro, 202</t>
  </si>
  <si>
    <t>Travessa do Sol, 300</t>
  </si>
  <si>
    <t>Rua da Praia, 55</t>
  </si>
  <si>
    <t>Rua das Flores, 123</t>
  </si>
  <si>
    <t>Av. Paulista, 1001</t>
  </si>
  <si>
    <t>Rua Central, 789</t>
  </si>
  <si>
    <t>Rua C, 56</t>
  </si>
  <si>
    <t>Rua A, 12</t>
  </si>
  <si>
    <t>Rua B, 34</t>
  </si>
  <si>
    <t>(11) 92650-1103</t>
  </si>
  <si>
    <t>(11) 92428-6279</t>
  </si>
  <si>
    <t>(11) 91062-6671</t>
  </si>
  <si>
    <t>(11) 95144-9742</t>
  </si>
  <si>
    <t>(11) 97239-7535</t>
  </si>
  <si>
    <t>(11) 92596-6102</t>
  </si>
  <si>
    <t>(11) 93198-8691</t>
  </si>
  <si>
    <t>(11) 98556-3030</t>
  </si>
  <si>
    <t>(11) 97925-9039</t>
  </si>
  <si>
    <t>(11) 97803-5577</t>
  </si>
  <si>
    <t>(11) 92382-9737</t>
  </si>
  <si>
    <t>(11) 94227-5192</t>
  </si>
  <si>
    <t>(11) 97232-6474</t>
  </si>
  <si>
    <t>(11) 91960-9671</t>
  </si>
  <si>
    <t>(11) 91177-9337</t>
  </si>
  <si>
    <t>(11) 94522-3426</t>
  </si>
  <si>
    <t>(11) 92989-5409</t>
  </si>
  <si>
    <t>(11) 98321-4456</t>
  </si>
  <si>
    <t>(11) 91786-1173</t>
  </si>
  <si>
    <t>(11) 96816-6696</t>
  </si>
  <si>
    <t>(11) 99748-3595</t>
  </si>
  <si>
    <t>(11) 93503-8257</t>
  </si>
  <si>
    <t>(11) 98881-8940</t>
  </si>
  <si>
    <t>(11) 92583-2371</t>
  </si>
  <si>
    <t>(11) 96393-5427</t>
  </si>
  <si>
    <t>(11) 95232-6155</t>
  </si>
  <si>
    <t>(11) 95958-2862</t>
  </si>
  <si>
    <t>(11) 97269-3657</t>
  </si>
  <si>
    <t>(11) 96474-7292</t>
  </si>
  <si>
    <t>(11) 97952-3625</t>
  </si>
  <si>
    <t>(11) 97555-3809</t>
  </si>
  <si>
    <t>(11) 91567-9033</t>
  </si>
  <si>
    <t>(11) 92334-5962</t>
  </si>
  <si>
    <t>(11) 98469-2309</t>
  </si>
  <si>
    <t>(11) 95872-6038</t>
  </si>
  <si>
    <t>(11) 98396-3580</t>
  </si>
  <si>
    <t>(11) 97083-4226</t>
  </si>
  <si>
    <t>(11) 99387-3851</t>
  </si>
  <si>
    <t>(11) 94478-6683</t>
  </si>
  <si>
    <t>(11) 91221-9688</t>
  </si>
  <si>
    <t>(11) 94903-7382</t>
  </si>
  <si>
    <t>(11) 99221-7454</t>
  </si>
  <si>
    <t>(11) 99172-7771</t>
  </si>
  <si>
    <t>(11) 92836-2622</t>
  </si>
  <si>
    <t>(11) 97836-2798</t>
  </si>
  <si>
    <t>(11) 95930-5802</t>
  </si>
  <si>
    <t>(11) 93606-8489</t>
  </si>
  <si>
    <t>(11) 92489-3011</t>
  </si>
  <si>
    <t>(11) 97331-1078</t>
  </si>
  <si>
    <t>(11) 98734-9787</t>
  </si>
  <si>
    <t>(11) 94006-3584</t>
  </si>
  <si>
    <t>(11) 91400-4270</t>
  </si>
  <si>
    <t>(11) 96233-7960</t>
  </si>
  <si>
    <t>(11) 98492-1613</t>
  </si>
  <si>
    <t>(11) 91021-6887</t>
  </si>
  <si>
    <t>(11) 94116-3823</t>
  </si>
  <si>
    <t>(11) 96861-6627</t>
  </si>
  <si>
    <t>(11) 95258-9784</t>
  </si>
  <si>
    <t>(11) 97328-3012</t>
  </si>
  <si>
    <t>(11) 98341-3116</t>
  </si>
  <si>
    <t>(11) 93444-9352</t>
  </si>
  <si>
    <t>(11) 93109-7220</t>
  </si>
  <si>
    <t>(11) 94502-9569</t>
  </si>
  <si>
    <t>(11) 93376-5559</t>
  </si>
  <si>
    <t>(11) 92229-2725</t>
  </si>
  <si>
    <t>(11) 99555-2736</t>
  </si>
  <si>
    <t>(11) 93182-6836</t>
  </si>
  <si>
    <t>(11) 98379-4738</t>
  </si>
  <si>
    <t>(11) 91731-1573</t>
  </si>
  <si>
    <t>(11) 96637-5380</t>
  </si>
  <si>
    <t>(11) 92925-1430</t>
  </si>
  <si>
    <t>(11) 93329-5252</t>
  </si>
  <si>
    <t>(11) 94662-2657</t>
  </si>
  <si>
    <t>(11) 98204-9790</t>
  </si>
  <si>
    <t>(11) 96390-5808</t>
  </si>
  <si>
    <t>(11) 91192-6019</t>
  </si>
  <si>
    <t>(11) 95844-4176</t>
  </si>
  <si>
    <t>(11) 95630-3784</t>
  </si>
  <si>
    <t>(11) 99731-4576</t>
  </si>
  <si>
    <t>(11) 92638-1108</t>
  </si>
  <si>
    <t>(11) 99909-2857</t>
  </si>
  <si>
    <t>(11) 91564-4743</t>
  </si>
  <si>
    <t>(11) 91783-9712</t>
  </si>
  <si>
    <t>(11) 95662-6658</t>
  </si>
  <si>
    <t>(11) 96576-1368</t>
  </si>
  <si>
    <t>(11) 95181-5232</t>
  </si>
  <si>
    <t>(11) 93393-8197</t>
  </si>
  <si>
    <t>(11) 96637-3062</t>
  </si>
  <si>
    <t>(11) 98989-4182</t>
  </si>
  <si>
    <t>(11) 97110-2767</t>
  </si>
  <si>
    <t>(11) 98572-2162</t>
  </si>
  <si>
    <t>(11) 94824-1421</t>
  </si>
  <si>
    <t>(11) 92459-3688</t>
  </si>
  <si>
    <t>(11) 94676-7151</t>
  </si>
  <si>
    <t>(11) 99408-9656</t>
  </si>
  <si>
    <t>(11) 93919-5917</t>
  </si>
  <si>
    <t>(11) 99702-5490</t>
  </si>
  <si>
    <t>(11) 92470-6007</t>
  </si>
  <si>
    <t>(11) 91670-9903</t>
  </si>
  <si>
    <t>(11) 93162-9129</t>
  </si>
  <si>
    <t>contato1@empresa.com</t>
  </si>
  <si>
    <t>contato2@empresa.com</t>
  </si>
  <si>
    <t>contato3@empresa.com</t>
  </si>
  <si>
    <t>contato4@empresa.com</t>
  </si>
  <si>
    <t>contato5@empresa.com</t>
  </si>
  <si>
    <t>contato6@empresa.com</t>
  </si>
  <si>
    <t>contato7@empresa.com</t>
  </si>
  <si>
    <t>contato8@empresa.com</t>
  </si>
  <si>
    <t>contato9@empresa.com</t>
  </si>
  <si>
    <t>contato10@empresa.com</t>
  </si>
  <si>
    <t>contato11@empresa.com</t>
  </si>
  <si>
    <t>contato12@empresa.com</t>
  </si>
  <si>
    <t>contato13@empresa.com</t>
  </si>
  <si>
    <t>contato14@empresa.com</t>
  </si>
  <si>
    <t>contato15@empresa.com</t>
  </si>
  <si>
    <t>contato16@empresa.com</t>
  </si>
  <si>
    <t>contato17@empresa.com</t>
  </si>
  <si>
    <t>contato18@empresa.com</t>
  </si>
  <si>
    <t>contato19@empresa.com</t>
  </si>
  <si>
    <t>contato20@empresa.com</t>
  </si>
  <si>
    <t>contato21@empresa.com</t>
  </si>
  <si>
    <t>contato22@empresa.com</t>
  </si>
  <si>
    <t>contato23@empresa.com</t>
  </si>
  <si>
    <t>contato24@empresa.com</t>
  </si>
  <si>
    <t>contato25@empresa.com</t>
  </si>
  <si>
    <t>contato26@empresa.com</t>
  </si>
  <si>
    <t>contato27@empresa.com</t>
  </si>
  <si>
    <t>contato28@empresa.com</t>
  </si>
  <si>
    <t>contato29@empresa.com</t>
  </si>
  <si>
    <t>contato30@empresa.com</t>
  </si>
  <si>
    <t>contato31@empresa.com</t>
  </si>
  <si>
    <t>contato32@empresa.com</t>
  </si>
  <si>
    <t>contato33@empresa.com</t>
  </si>
  <si>
    <t>contato34@empresa.com</t>
  </si>
  <si>
    <t>contato35@empresa.com</t>
  </si>
  <si>
    <t>contato36@empresa.com</t>
  </si>
  <si>
    <t>contato37@empresa.com</t>
  </si>
  <si>
    <t>contato38@empresa.com</t>
  </si>
  <si>
    <t>contato39@empresa.com</t>
  </si>
  <si>
    <t>contato40@empresa.com</t>
  </si>
  <si>
    <t>contato41@empresa.com</t>
  </si>
  <si>
    <t>contato42@empresa.com</t>
  </si>
  <si>
    <t>contato43@empresa.com</t>
  </si>
  <si>
    <t>contato44@empresa.com</t>
  </si>
  <si>
    <t>contato45@empresa.com</t>
  </si>
  <si>
    <t>contato46@empresa.com</t>
  </si>
  <si>
    <t>contato47@empresa.com</t>
  </si>
  <si>
    <t>contato48@empresa.com</t>
  </si>
  <si>
    <t>contato49@empresa.com</t>
  </si>
  <si>
    <t>contato50@empresa.com</t>
  </si>
  <si>
    <t>contato51@empresa.com</t>
  </si>
  <si>
    <t>contato52@empresa.com</t>
  </si>
  <si>
    <t>contato53@empresa.com</t>
  </si>
  <si>
    <t>contato54@empresa.com</t>
  </si>
  <si>
    <t>contato55@empresa.com</t>
  </si>
  <si>
    <t>contato56@empresa.com</t>
  </si>
  <si>
    <t>contato57@empresa.com</t>
  </si>
  <si>
    <t>contato58@empresa.com</t>
  </si>
  <si>
    <t>contato59@empresa.com</t>
  </si>
  <si>
    <t>contato60@empresa.com</t>
  </si>
  <si>
    <t>contato61@empresa.com</t>
  </si>
  <si>
    <t>contato62@empresa.com</t>
  </si>
  <si>
    <t>contato63@empresa.com</t>
  </si>
  <si>
    <t>contato64@empresa.com</t>
  </si>
  <si>
    <t>contato65@empresa.com</t>
  </si>
  <si>
    <t>contato66@empresa.com</t>
  </si>
  <si>
    <t>contato67@empresa.com</t>
  </si>
  <si>
    <t>contato68@empresa.com</t>
  </si>
  <si>
    <t>contato69@empresa.com</t>
  </si>
  <si>
    <t>contato70@empresa.com</t>
  </si>
  <si>
    <t>contato71@empresa.com</t>
  </si>
  <si>
    <t>contato72@empresa.com</t>
  </si>
  <si>
    <t>contato73@empresa.com</t>
  </si>
  <si>
    <t>contato74@empresa.com</t>
  </si>
  <si>
    <t>contato75@empresa.com</t>
  </si>
  <si>
    <t>contato76@empresa.com</t>
  </si>
  <si>
    <t>contato77@empresa.com</t>
  </si>
  <si>
    <t>contato78@empresa.com</t>
  </si>
  <si>
    <t>contato79@empresa.com</t>
  </si>
  <si>
    <t>contato80@empresa.com</t>
  </si>
  <si>
    <t>contato81@empresa.com</t>
  </si>
  <si>
    <t>contato82@empresa.com</t>
  </si>
  <si>
    <t>contato83@empresa.com</t>
  </si>
  <si>
    <t>contato84@empresa.com</t>
  </si>
  <si>
    <t>contato85@empresa.com</t>
  </si>
  <si>
    <t>contato86@empresa.com</t>
  </si>
  <si>
    <t>contato87@empresa.com</t>
  </si>
  <si>
    <t>contato88@empresa.com</t>
  </si>
  <si>
    <t>contato89@empresa.com</t>
  </si>
  <si>
    <t>contato90@empresa.com</t>
  </si>
  <si>
    <t>contato91@empresa.com</t>
  </si>
  <si>
    <t>contato92@empresa.com</t>
  </si>
  <si>
    <t>contato93@empresa.com</t>
  </si>
  <si>
    <t>contato94@empresa.com</t>
  </si>
  <si>
    <t>contato95@empresa.com</t>
  </si>
  <si>
    <t>contato96@empresa.com</t>
  </si>
  <si>
    <t>contato97@empresa.com</t>
  </si>
  <si>
    <t>contato98@empresa.com</t>
  </si>
  <si>
    <t>contato99@empresa.com</t>
  </si>
  <si>
    <t>contato100@empresa.com</t>
  </si>
  <si>
    <t>823.491.507-04</t>
  </si>
  <si>
    <t>Ana Laura Pires</t>
  </si>
  <si>
    <t>+55 (021) 3508-8439</t>
  </si>
  <si>
    <t>Melo</t>
  </si>
  <si>
    <t>AC</t>
  </si>
  <si>
    <t>Praia Nicolas Pinto, 203, São Pedro, 15929-827 da Mota do Galho / RN</t>
  </si>
  <si>
    <t>251.309.674-61</t>
  </si>
  <si>
    <t>Pedro Lucas Monteiro</t>
  </si>
  <si>
    <t>71 5676 0179</t>
  </si>
  <si>
    <t>da Rocha</t>
  </si>
  <si>
    <t>PB</t>
  </si>
  <si>
    <t>Via Bruno Caldeira, 531, Casa Branca, 87230-935 Nogueira de Ferreira / SC</t>
  </si>
  <si>
    <t>572.103.846-26</t>
  </si>
  <si>
    <t>Murilo Moreira</t>
  </si>
  <si>
    <t>+55 (031) 3995 1292</t>
  </si>
  <si>
    <t>Rocha</t>
  </si>
  <si>
    <t>SC</t>
  </si>
  <si>
    <t>Colônia Oliveira, 11, Beira Linha, 02390-532 Moreira de Costa / RO</t>
  </si>
  <si>
    <t>791.506.823-77</t>
  </si>
  <si>
    <t>Julia Rodrigues</t>
  </si>
  <si>
    <t>0800-904-4478</t>
  </si>
  <si>
    <t>Cunha</t>
  </si>
  <si>
    <t>RS</t>
  </si>
  <si>
    <t>Colônia de Pereira, Vila Inestan, 62847625 Teixeira / PB</t>
  </si>
  <si>
    <t>685.079.431-01</t>
  </si>
  <si>
    <t>Dr. Nicolas Ribeiro</t>
  </si>
  <si>
    <t>11 6209-7575</t>
  </si>
  <si>
    <t>Lopes das Pedras</t>
  </si>
  <si>
    <t>GO</t>
  </si>
  <si>
    <t>Travessa Eloah Cardoso, São Salvador, 48757-942 Rocha / PI</t>
  </si>
  <si>
    <t>783.160.452-90</t>
  </si>
  <si>
    <t>Diego Pinto</t>
  </si>
  <si>
    <t>(071) 7525-8241</t>
  </si>
  <si>
    <t>Barbosa</t>
  </si>
  <si>
    <t>Quadra de Moura, 8, Monte São José, 07171947 Pereira / PA</t>
  </si>
  <si>
    <t>370.541.629-43</t>
  </si>
  <si>
    <t>Heloísa da Cruz</t>
  </si>
  <si>
    <t>(084) 9093-5137</t>
  </si>
  <si>
    <t>Cardoso das Pedras</t>
  </si>
  <si>
    <t>Sítio de da Costa, Senhor Dos Passos, 81771-115 Rodrigues das Flores / PA</t>
  </si>
  <si>
    <t>678.914.302-50</t>
  </si>
  <si>
    <t>Ana Lívia Pereira</t>
  </si>
  <si>
    <t>84 9815 6319</t>
  </si>
  <si>
    <t>Peixoto Verde</t>
  </si>
  <si>
    <t>Pátio Ana Carolina Ribeiro, 993, Nossa Senhora Da Aparecida, 14097621 Rezende de Barbosa / RS</t>
  </si>
  <si>
    <t>980.612.537-12</t>
  </si>
  <si>
    <t>Eduarda Melo</t>
  </si>
  <si>
    <t>0800-631-0410</t>
  </si>
  <si>
    <t>Martins do Sul</t>
  </si>
  <si>
    <t>Praça de das Neves, 71, Vila Havaí, 64474778 das Neves / PI</t>
  </si>
  <si>
    <t>894.152.630-24</t>
  </si>
  <si>
    <t>Dr. André Duarte</t>
  </si>
  <si>
    <t>+55 (071) 1563-8049</t>
  </si>
  <si>
    <t>da Costa de Minas</t>
  </si>
  <si>
    <t>Recanto Almeida, Vila Nova Cachoeirinha 2ª Seção, 22503-392 da Luz / MA</t>
  </si>
  <si>
    <t>361.784.025-62</t>
  </si>
  <si>
    <t>Luigi das Neves</t>
  </si>
  <si>
    <t>+55 (041) 9500-7249</t>
  </si>
  <si>
    <t>Costa de Araújo</t>
  </si>
  <si>
    <t>RN</t>
  </si>
  <si>
    <t>Largo Murilo da Costa, 87, Vila Jardim Leblon, 21782-568 Duarte / GO</t>
  </si>
  <si>
    <t>263.580.974-74</t>
  </si>
  <si>
    <t>Arthur Cavalcanti</t>
  </si>
  <si>
    <t>71 2693 8539</t>
  </si>
  <si>
    <t>Caldeira Paulista</t>
  </si>
  <si>
    <t>Recanto Martins, Nossa Senhora De Fátima, 42661-066 Pires do Oeste / AC</t>
  </si>
  <si>
    <t>375.218.964-91</t>
  </si>
  <si>
    <t>Bárbara Freitas</t>
  </si>
  <si>
    <t>61 2438-2906</t>
  </si>
  <si>
    <t>da Luz</t>
  </si>
  <si>
    <t>Vereda Costa, 9, Pindura Saia, 02953-414 Lima / RN</t>
  </si>
  <si>
    <t>245.308.716-90</t>
  </si>
  <si>
    <t>Arthur Melo</t>
  </si>
  <si>
    <t>0900 805 7909</t>
  </si>
  <si>
    <t>da Costa da Prata</t>
  </si>
  <si>
    <t>Fazenda Danilo Pinto, 8, Itatiaia, 76189-451 Peixoto do Campo / MT</t>
  </si>
  <si>
    <t>230.419.567-99</t>
  </si>
  <si>
    <t>Isis Sales</t>
  </si>
  <si>
    <t>+55 11 5961 9327</t>
  </si>
  <si>
    <t>Monteiro de Martins</t>
  </si>
  <si>
    <t>Avenida Esther Moreira, 9, Granja De Freitas, 15302-428 da Mota da Praia / PB</t>
  </si>
  <si>
    <t>085.319.467-00</t>
  </si>
  <si>
    <t>Lavínia Araújo</t>
  </si>
  <si>
    <t>+55 84 0594-6934</t>
  </si>
  <si>
    <t>Mendes</t>
  </si>
  <si>
    <t>Lago Enzo Cardoso, 55, Paquetá, 77210-317 Campos de Minas / MA</t>
  </si>
  <si>
    <t>958.610.274-20</t>
  </si>
  <si>
    <t>Srta. Raquel Castro</t>
  </si>
  <si>
    <t>+55 (071) 5856-0104</t>
  </si>
  <si>
    <t>Fogaça</t>
  </si>
  <si>
    <t>Vereda Moreira, São Francisco, 74621-433 Dias / AM</t>
  </si>
  <si>
    <t>451.763.982-73</t>
  </si>
  <si>
    <t>Danilo Moraes</t>
  </si>
  <si>
    <t>+55 (084) 4311-5904</t>
  </si>
  <si>
    <t>Alves</t>
  </si>
  <si>
    <t>Ladeira de Nascimento, 61, Conjunto Floramar, 40484589 das Neves / AM</t>
  </si>
  <si>
    <t>875.612.903-30</t>
  </si>
  <si>
    <t>Isadora Rezende</t>
  </si>
  <si>
    <t>(051) 4708-7919</t>
  </si>
  <si>
    <t>Lago de Araújo, 80, Minaslandia, 23339-455 da Mata / PB</t>
  </si>
  <si>
    <t>837.216.509-21</t>
  </si>
  <si>
    <t>Gabriela Fogaça</t>
  </si>
  <si>
    <t>+55 (041) 1820-7838</t>
  </si>
  <si>
    <t>Viela de Ramos, 1, Penha, 70479-505 Novaes do Galho / PI</t>
  </si>
  <si>
    <t>984.037.625-00</t>
  </si>
  <si>
    <t>Melissa Ferreira</t>
  </si>
  <si>
    <t>51 4788 8140</t>
  </si>
  <si>
    <t>Nascimento de Goiás</t>
  </si>
  <si>
    <t>Pátio Souza, 39, Boa União 1ª Seção, 73886-160 Silveira / RN</t>
  </si>
  <si>
    <t>346.507.918-39</t>
  </si>
  <si>
    <t>Vitor Gabriel Alves</t>
  </si>
  <si>
    <t>(071) 7991-1686</t>
  </si>
  <si>
    <t>Carvalho</t>
  </si>
  <si>
    <t>Área Lima, 27, Colégio Batista, 90499504 Cardoso do Galho / CE</t>
  </si>
  <si>
    <t>173.246.890-78</t>
  </si>
  <si>
    <t>Alexandre Alves</t>
  </si>
  <si>
    <t>+55 (011) 0440-7979</t>
  </si>
  <si>
    <t>Gomes</t>
  </si>
  <si>
    <t>SE</t>
  </si>
  <si>
    <t>Estrada Gustavo Henrique Ribeiro, 899, Jardim Leblon, 69561077 Nunes / RN</t>
  </si>
  <si>
    <t>103.462.879-87</t>
  </si>
  <si>
    <t>João Guilherme Farias</t>
  </si>
  <si>
    <t>(041) 3842 3212</t>
  </si>
  <si>
    <t>da Mota</t>
  </si>
  <si>
    <t>RO</t>
  </si>
  <si>
    <t>Quadra João Felipe Pinto, 10, Sport Club, 45440-236 Azevedo / MA</t>
  </si>
  <si>
    <t>015.986.734-75</t>
  </si>
  <si>
    <t>Sabrina Nunes</t>
  </si>
  <si>
    <t>0800 168 3088</t>
  </si>
  <si>
    <t>Cardoso de Campos</t>
  </si>
  <si>
    <t>Ladeira Moura, 32, Conjunto Califórnia Ii, 18172998 Jesus da Praia / RJ</t>
  </si>
  <si>
    <t>269.847.310-03</t>
  </si>
  <si>
    <t>Sra. Raquel Porto</t>
  </si>
  <si>
    <t>84 5783-7931</t>
  </si>
  <si>
    <t>Peixoto da Serra</t>
  </si>
  <si>
    <t>Trecho Peixoto, Vila Batik, 47332-994 Alves de Goiás / PA</t>
  </si>
  <si>
    <t>813.524.607-26</t>
  </si>
  <si>
    <t>Maria Luiza Caldeira</t>
  </si>
  <si>
    <t>+55 (011) 1825 5274</t>
  </si>
  <si>
    <t>Cardoso do Campo</t>
  </si>
  <si>
    <t>Favela de Araújo, Ventosa, 73854519 Araújo da Prata / RJ</t>
  </si>
  <si>
    <t>475.913.260-07</t>
  </si>
  <si>
    <t>Danilo Ribeiro</t>
  </si>
  <si>
    <t>(011) 3137-6494</t>
  </si>
  <si>
    <t>Nascimento do Amparo</t>
  </si>
  <si>
    <t>TO</t>
  </si>
  <si>
    <t>Quadra Raul Pereira, Concórdia, 97249743 Moraes / AP</t>
  </si>
  <si>
    <t>483.726.590-10</t>
  </si>
  <si>
    <t>Fernando da Rosa</t>
  </si>
  <si>
    <t>+55 84 6634 6002</t>
  </si>
  <si>
    <t>Nogueira</t>
  </si>
  <si>
    <t>Ladeira Novaes, 71, Nossa Senhora De Fátima, 02918172 Gomes de da Rosa / PE</t>
  </si>
  <si>
    <t>641.879.203-31</t>
  </si>
  <si>
    <t>Renan Ramos</t>
  </si>
  <si>
    <t>+55 (051) 3664 1409</t>
  </si>
  <si>
    <t>Sales do Oeste</t>
  </si>
  <si>
    <t>Fazenda Ribeiro, 284, Ribeiro De Abreu, 93428-224 Cavalcanti / RS</t>
  </si>
  <si>
    <t>275.031.648-08</t>
  </si>
  <si>
    <t>Juliana Ramos</t>
  </si>
  <si>
    <t>(081) 0119-1960</t>
  </si>
  <si>
    <t>Novaes de Goiás</t>
  </si>
  <si>
    <t>Alameda Ramos, 27, Vila Jardim Montanhes, 00425-276 da Mota / ES</t>
  </si>
  <si>
    <t>418.973.265-64</t>
  </si>
  <si>
    <t>Ana Júlia Pires</t>
  </si>
  <si>
    <t>+55 (011) 7538 0004</t>
  </si>
  <si>
    <t>Porto</t>
  </si>
  <si>
    <t>Vereda Silveira, Vila Bandeirantes, 39580-573 Barros Paulista / AC</t>
  </si>
  <si>
    <t>304.562.781-17</t>
  </si>
  <si>
    <t>Dr. Lucas da Costa</t>
  </si>
  <si>
    <t>+55 (031) 7645 7295</t>
  </si>
  <si>
    <t>da Cunha de Costa</t>
  </si>
  <si>
    <t>Estação de Araújo, 20, Biquinhas, 84208956 Campos / MA</t>
  </si>
  <si>
    <t>197.843.205-41</t>
  </si>
  <si>
    <t>Alexia Teixeira</t>
  </si>
  <si>
    <t>(041) 1846-9006</t>
  </si>
  <si>
    <t>da Mata do Oeste</t>
  </si>
  <si>
    <t>Avenida Theo Castro, Santa Sofia, 84196-401 Farias da Serra / DF</t>
  </si>
  <si>
    <t>452.913.678-73</t>
  </si>
  <si>
    <t>Lavínia Azevedo</t>
  </si>
  <si>
    <t>+55 (041) 8696 8282</t>
  </si>
  <si>
    <t>Feira Carlos Eduardo Dias, Novo Ouro Preto, 02265-551 da Paz / PB</t>
  </si>
  <si>
    <t>056.124.398-06</t>
  </si>
  <si>
    <t>João Miguel Cunha</t>
  </si>
  <si>
    <t>0900 708 4557</t>
  </si>
  <si>
    <t>Costela</t>
  </si>
  <si>
    <t>Favela de da Rosa, 50, Tirol, 30180389 Nascimento / AP</t>
  </si>
  <si>
    <t>086.259.734-00</t>
  </si>
  <si>
    <t>Isabelly Cardoso</t>
  </si>
  <si>
    <t>+55 (051) 7055 2523</t>
  </si>
  <si>
    <t>da Paz</t>
  </si>
  <si>
    <t>Área Dias, 61, Granja Werneck, 69236683 Pinto / GO</t>
  </si>
  <si>
    <t>296.018.354-15</t>
  </si>
  <si>
    <t>Nathan da Mata</t>
  </si>
  <si>
    <t>+55 (051) 2041 6437</t>
  </si>
  <si>
    <t>Freitas</t>
  </si>
  <si>
    <t>Núcleo da Luz, Vila São Francisco, 58958-086 Lima dos Dourados / AM</t>
  </si>
  <si>
    <t>539.672.081-68</t>
  </si>
  <si>
    <t>Rebeca Campos</t>
  </si>
  <si>
    <t>+55 (021) 1263 7024</t>
  </si>
  <si>
    <t>Azevedo</t>
  </si>
  <si>
    <t>Viela de Caldeira, Cabana Do Pai Tomás, 27366991 Martins / AP</t>
  </si>
  <si>
    <t>420.157.368-08</t>
  </si>
  <si>
    <t>Luana Cardoso</t>
  </si>
  <si>
    <t>(041) 1464 6867</t>
  </si>
  <si>
    <t>das Neves</t>
  </si>
  <si>
    <t>Vila Farias, 21, Maria Goretti, 38695777 Correia / BA</t>
  </si>
  <si>
    <t>205.498.763-83</t>
  </si>
  <si>
    <t>Ana Clara Rezende</t>
  </si>
  <si>
    <t>84 1357 6156</t>
  </si>
  <si>
    <t>Gonçalves</t>
  </si>
  <si>
    <t>Viela Júlia Costela, 1, Barão Homem De Melo 3ª Seção, 38399-667 Porto das Pedras / SE</t>
  </si>
  <si>
    <t>058.271.936-40</t>
  </si>
  <si>
    <t>João Miguel Pereira</t>
  </si>
  <si>
    <t>(031) 1342 2739</t>
  </si>
  <si>
    <t>Alves da Serra</t>
  </si>
  <si>
    <t>Residencial de da Mata, 78, Ernesto Nascimento, 38433582 Oliveira Verde / PA</t>
  </si>
  <si>
    <t>081.362.794-03</t>
  </si>
  <si>
    <t>Pietro da Rosa</t>
  </si>
  <si>
    <t>+55 (071) 7643 1786</t>
  </si>
  <si>
    <t>Rodrigues</t>
  </si>
  <si>
    <t>Trevo Helena da Conceição, Indaiá, 74217-311 Gonçalves / MA</t>
  </si>
  <si>
    <t>925.614.730-07</t>
  </si>
  <si>
    <t>Ana Beatriz da Cruz</t>
  </si>
  <si>
    <t>(051) 3727-0453</t>
  </si>
  <si>
    <t>Farias</t>
  </si>
  <si>
    <t>Setor Cardoso, 2, Etelvina Carneiro, 25040856 Cardoso / PI</t>
  </si>
  <si>
    <t>726.491.058-01</t>
  </si>
  <si>
    <t>Felipe Santos</t>
  </si>
  <si>
    <t>(084) 8240 2332</t>
  </si>
  <si>
    <t>PA</t>
  </si>
  <si>
    <t>Colônia Rezende, 84, Vila Ouro Minas, 42617-770 Monteiro / MS</t>
  </si>
  <si>
    <t>658.302.971-59</t>
  </si>
  <si>
    <t>Maria Luiza Nunes</t>
  </si>
  <si>
    <t>71 2298-9182</t>
  </si>
  <si>
    <t>Residencial Lopes, 9, Santa Rita, 25617956 Ramos / AC</t>
  </si>
  <si>
    <t>653.941.820-51</t>
  </si>
  <si>
    <t>Yago Moreira</t>
  </si>
  <si>
    <t>+55 (031) 5803-7936</t>
  </si>
  <si>
    <t>Freitas de Goiás</t>
  </si>
  <si>
    <t>Ladeira Rebeca Ramos, 1, Jardim Vitoria, 37442-276 Vieira Grande / SE</t>
  </si>
  <si>
    <t>270.345.168-71</t>
  </si>
  <si>
    <t>Eduardo Gomes</t>
  </si>
  <si>
    <t>+55 (071) 8821 8205</t>
  </si>
  <si>
    <t>Distrito de Farias, 2, São Benedito, 56253082 Lopes de Barbosa / AM</t>
  </si>
  <si>
    <t>863.074.195-39</t>
  </si>
  <si>
    <t>Bruno Castro</t>
  </si>
  <si>
    <t>+55 (041) 9028 8392</t>
  </si>
  <si>
    <t>Sítio Gomes, Alto Vera Cruz, 54864560 Martins / PI</t>
  </si>
  <si>
    <t>594.371.286-00</t>
  </si>
  <si>
    <t>Raquel Cavalcanti</t>
  </si>
  <si>
    <t>(031) 3808 7214</t>
  </si>
  <si>
    <t>Gomes de Martins</t>
  </si>
  <si>
    <t>Setor Mendes, 22, Mantiqueira, 35143-294 Ramos / SC</t>
  </si>
  <si>
    <t>HIgiene</t>
  </si>
  <si>
    <t>Abacaxi</t>
  </si>
  <si>
    <t>Relátorio por filro</t>
  </si>
  <si>
    <t>2.	Relatório de fornecedores com maior número de vendas;</t>
  </si>
  <si>
    <r>
      <t>1.</t>
    </r>
    <r>
      <rPr>
        <sz val="7"/>
        <color theme="0"/>
        <rFont val="Times New Roman"/>
        <family val="1"/>
      </rPr>
      <t xml:space="preserve">       </t>
    </r>
    <r>
      <rPr>
        <sz val="11"/>
        <color theme="0"/>
        <rFont val="Calibri"/>
        <family val="2"/>
      </rPr>
      <t>Relatório de clientes com maior número de compras;</t>
    </r>
  </si>
  <si>
    <t>3.Relatório de produtos de um determinado tipo (alimento)</t>
  </si>
  <si>
    <t>4.	Relatório de produtos com estoque abaixo do ponto de pedido;</t>
  </si>
  <si>
    <t>5.	Relatório de produtos com estoque abaixo da quantidade mínima;</t>
  </si>
  <si>
    <t>6.	Relatório de produtos com estoque acima da quantidade máxima;</t>
  </si>
  <si>
    <t>7.	Relatório de produtos com necessidade de reposição de 3 determinados tipos (Higiene, Alimento,Bebida)</t>
  </si>
  <si>
    <t>8.	Relatório de saída de produtos para um determinado cliente;</t>
  </si>
  <si>
    <t>9.	Relatório de saída de um determinado tipo de produto para 3 clientes específicos</t>
  </si>
  <si>
    <t>10.	Relatório de entrada de produtos de um determinado tipo em um determinado período.</t>
  </si>
  <si>
    <t>Rótulos de Linha</t>
  </si>
  <si>
    <t>Soma de Qtde</t>
  </si>
  <si>
    <t>Total Geral</t>
  </si>
  <si>
    <t>Soma de qtde</t>
  </si>
  <si>
    <t>2025</t>
  </si>
  <si>
    <t>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</si>
</sst>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7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5" borderId="0" xfId="0" applyFont="1" applyFill="1"/>
    <xf numFmtId="0" fontId="0" fillId="6" borderId="1" xfId="0" applyFill="1" applyBorder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1" fillId="5" borderId="0" xfId="0" applyNumberFormat="1" applyFont="1" applyFill="1"/>
    <xf numFmtId="14" fontId="0" fillId="0" borderId="0" xfId="0" applyNumberFormat="1"/>
    <xf numFmtId="0" fontId="0" fillId="6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left" vertical="center" indent="2"/>
    </xf>
    <xf numFmtId="0" fontId="0" fillId="0" borderId="2" xfId="0" applyBorder="1"/>
    <xf numFmtId="0" fontId="1" fillId="7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vertical="center"/>
    </xf>
    <xf numFmtId="0" fontId="3" fillId="8" borderId="2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8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.xlsm]Td6!Tabela dinâmica13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'Td6'!$B$3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'Td6'!$A$4:$A$264</c:f>
              <c:multiLvlStrCache>
                <c:ptCount val="193"/>
                <c:lvl>
                  <c:pt idx="0">
                    <c:v>Frango</c:v>
                  </c:pt>
                  <c:pt idx="1">
                    <c:v>Repolho</c:v>
                  </c:pt>
                  <c:pt idx="2">
                    <c:v>Shoyu</c:v>
                  </c:pt>
                  <c:pt idx="3">
                    <c:v>Chá</c:v>
                  </c:pt>
                  <c:pt idx="4">
                    <c:v>Creme de leite</c:v>
                  </c:pt>
                  <c:pt idx="5">
                    <c:v>Molho de pimenta</c:v>
                  </c:pt>
                  <c:pt idx="6">
                    <c:v>Presunto</c:v>
                  </c:pt>
                  <c:pt idx="7">
                    <c:v>Whisky</c:v>
                  </c:pt>
                  <c:pt idx="8">
                    <c:v>Escova de dentes</c:v>
                  </c:pt>
                  <c:pt idx="9">
                    <c:v>Suco</c:v>
                  </c:pt>
                  <c:pt idx="10">
                    <c:v>Gelatina</c:v>
                  </c:pt>
                  <c:pt idx="11">
                    <c:v>Salsicha</c:v>
                  </c:pt>
                  <c:pt idx="12">
                    <c:v>Uva</c:v>
                  </c:pt>
                  <c:pt idx="13">
                    <c:v>Batata</c:v>
                  </c:pt>
                  <c:pt idx="14">
                    <c:v>Carne bovina</c:v>
                  </c:pt>
                  <c:pt idx="15">
                    <c:v>Iogurte</c:v>
                  </c:pt>
                  <c:pt idx="16">
                    <c:v>Coxinha</c:v>
                  </c:pt>
                  <c:pt idx="17">
                    <c:v>Maçã</c:v>
                  </c:pt>
                  <c:pt idx="18">
                    <c:v>Mostarda</c:v>
                  </c:pt>
                  <c:pt idx="19">
                    <c:v>Cebola</c:v>
                  </c:pt>
                  <c:pt idx="20">
                    <c:v>Laranja</c:v>
                  </c:pt>
                  <c:pt idx="21">
                    <c:v>Molho inglês</c:v>
                  </c:pt>
                  <c:pt idx="22">
                    <c:v>Coxinha</c:v>
                  </c:pt>
                  <c:pt idx="23">
                    <c:v>Macarrão</c:v>
                  </c:pt>
                  <c:pt idx="24">
                    <c:v>Suco</c:v>
                  </c:pt>
                  <c:pt idx="25">
                    <c:v>Detergente</c:v>
                  </c:pt>
                  <c:pt idx="26">
                    <c:v>Farofa</c:v>
                  </c:pt>
                  <c:pt idx="27">
                    <c:v>Shoyu</c:v>
                  </c:pt>
                  <c:pt idx="28">
                    <c:v>Bolacha</c:v>
                  </c:pt>
                  <c:pt idx="29">
                    <c:v>Iogurte</c:v>
                  </c:pt>
                  <c:pt idx="30">
                    <c:v>Mamão</c:v>
                  </c:pt>
                  <c:pt idx="31">
                    <c:v>Chá</c:v>
                  </c:pt>
                  <c:pt idx="32">
                    <c:v>Detergente</c:v>
                  </c:pt>
                  <c:pt idx="33">
                    <c:v>Shoyu</c:v>
                  </c:pt>
                  <c:pt idx="34">
                    <c:v>Maionese</c:v>
                  </c:pt>
                  <c:pt idx="35">
                    <c:v>Mostarda</c:v>
                  </c:pt>
                  <c:pt idx="36">
                    <c:v>Batata frita congelada</c:v>
                  </c:pt>
                  <c:pt idx="37">
                    <c:v>Pizza congelada</c:v>
                  </c:pt>
                  <c:pt idx="38">
                    <c:v>Sabonete</c:v>
                  </c:pt>
                  <c:pt idx="39">
                    <c:v>Molho de pimenta</c:v>
                  </c:pt>
                  <c:pt idx="40">
                    <c:v>Polpa de fruta</c:v>
                  </c:pt>
                  <c:pt idx="41">
                    <c:v>Refrigerante</c:v>
                  </c:pt>
                  <c:pt idx="42">
                    <c:v>Papel higiênico</c:v>
                  </c:pt>
                  <c:pt idx="43">
                    <c:v>Pastilha</c:v>
                  </c:pt>
                  <c:pt idx="44">
                    <c:v>Granola</c:v>
                  </c:pt>
                  <c:pt idx="45">
                    <c:v>Pastel</c:v>
                  </c:pt>
                  <c:pt idx="46">
                    <c:v>Tomate</c:v>
                  </c:pt>
                  <c:pt idx="47">
                    <c:v>Açúcar</c:v>
                  </c:pt>
                  <c:pt idx="48">
                    <c:v>Ervilha</c:v>
                  </c:pt>
                  <c:pt idx="49">
                    <c:v>Sardinha</c:v>
                  </c:pt>
                  <c:pt idx="50">
                    <c:v>Fósforo</c:v>
                  </c:pt>
                  <c:pt idx="51">
                    <c:v>Pastilha</c:v>
                  </c:pt>
                  <c:pt idx="52">
                    <c:v>Uva</c:v>
                  </c:pt>
                  <c:pt idx="53">
                    <c:v>Creme dental</c:v>
                  </c:pt>
                  <c:pt idx="54">
                    <c:v>Esponja</c:v>
                  </c:pt>
                  <c:pt idx="55">
                    <c:v>Farofa</c:v>
                  </c:pt>
                  <c:pt idx="56">
                    <c:v>Açúcar</c:v>
                  </c:pt>
                  <c:pt idx="57">
                    <c:v>Biscoito</c:v>
                  </c:pt>
                  <c:pt idx="58">
                    <c:v>Laranja</c:v>
                  </c:pt>
                  <c:pt idx="59">
                    <c:v>Chá</c:v>
                  </c:pt>
                  <c:pt idx="60">
                    <c:v>Creme de leite</c:v>
                  </c:pt>
                  <c:pt idx="61">
                    <c:v>Esfiha</c:v>
                  </c:pt>
                  <c:pt idx="62">
                    <c:v>Amaciante</c:v>
                  </c:pt>
                  <c:pt idx="63">
                    <c:v>Café</c:v>
                  </c:pt>
                  <c:pt idx="64">
                    <c:v>Queijo</c:v>
                  </c:pt>
                  <c:pt idx="65">
                    <c:v>Alface</c:v>
                  </c:pt>
                  <c:pt idx="66">
                    <c:v>Frango</c:v>
                  </c:pt>
                  <c:pt idx="67">
                    <c:v>Repolho</c:v>
                  </c:pt>
                  <c:pt idx="68">
                    <c:v>Desinfetante</c:v>
                  </c:pt>
                  <c:pt idx="69">
                    <c:v>Tomate</c:v>
                  </c:pt>
                  <c:pt idx="70">
                    <c:v>Escova de dentes</c:v>
                  </c:pt>
                  <c:pt idx="71">
                    <c:v>Mostarda</c:v>
                  </c:pt>
                  <c:pt idx="72">
                    <c:v>Shoyu</c:v>
                  </c:pt>
                  <c:pt idx="73">
                    <c:v>Carne bovina</c:v>
                  </c:pt>
                  <c:pt idx="74">
                    <c:v>Leite</c:v>
                  </c:pt>
                  <c:pt idx="75">
                    <c:v>Grão de bico</c:v>
                  </c:pt>
                  <c:pt idx="76">
                    <c:v>Leite</c:v>
                  </c:pt>
                  <c:pt idx="77">
                    <c:v>Sorvete</c:v>
                  </c:pt>
                  <c:pt idx="78">
                    <c:v>Batata frita congelada</c:v>
                  </c:pt>
                  <c:pt idx="79">
                    <c:v>Mostarda</c:v>
                  </c:pt>
                  <c:pt idx="80">
                    <c:v>Shoyu</c:v>
                  </c:pt>
                  <c:pt idx="81">
                    <c:v>Açúcar</c:v>
                  </c:pt>
                  <c:pt idx="82">
                    <c:v>Linguiça</c:v>
                  </c:pt>
                  <c:pt idx="83">
                    <c:v>Maionese</c:v>
                  </c:pt>
                  <c:pt idx="84">
                    <c:v>Açúcar</c:v>
                  </c:pt>
                  <c:pt idx="85">
                    <c:v>Alface</c:v>
                  </c:pt>
                  <c:pt idx="86">
                    <c:v>Condicionador</c:v>
                  </c:pt>
                  <c:pt idx="87">
                    <c:v>Farofa</c:v>
                  </c:pt>
                  <c:pt idx="88">
                    <c:v>Pastel</c:v>
                  </c:pt>
                  <c:pt idx="89">
                    <c:v>Tomate</c:v>
                  </c:pt>
                  <c:pt idx="90">
                    <c:v>Banana</c:v>
                  </c:pt>
                  <c:pt idx="91">
                    <c:v>Desinfetante</c:v>
                  </c:pt>
                  <c:pt idx="92">
                    <c:v>Farofa</c:v>
                  </c:pt>
                  <c:pt idx="93">
                    <c:v>Coxinha</c:v>
                  </c:pt>
                  <c:pt idx="94">
                    <c:v>Esfiha</c:v>
                  </c:pt>
                  <c:pt idx="95">
                    <c:v>Maçã</c:v>
                  </c:pt>
                  <c:pt idx="96">
                    <c:v>Leite</c:v>
                  </c:pt>
                  <c:pt idx="97">
                    <c:v>Sorvete</c:v>
                  </c:pt>
                  <c:pt idx="98">
                    <c:v>Tomate</c:v>
                  </c:pt>
                  <c:pt idx="99">
                    <c:v>Açúcar</c:v>
                  </c:pt>
                  <c:pt idx="100">
                    <c:v>Condicionador</c:v>
                  </c:pt>
                  <c:pt idx="101">
                    <c:v>Presunto</c:v>
                  </c:pt>
                  <c:pt idx="102">
                    <c:v>Açúcar</c:v>
                  </c:pt>
                  <c:pt idx="103">
                    <c:v>Gelatina</c:v>
                  </c:pt>
                  <c:pt idx="104">
                    <c:v>Linguiça</c:v>
                  </c:pt>
                  <c:pt idx="105">
                    <c:v>Frango</c:v>
                  </c:pt>
                  <c:pt idx="106">
                    <c:v>Leite condensado</c:v>
                  </c:pt>
                  <c:pt idx="107">
                    <c:v>Aveia</c:v>
                  </c:pt>
                  <c:pt idx="108">
                    <c:v>Banana</c:v>
                  </c:pt>
                  <c:pt idx="109">
                    <c:v>Farofa</c:v>
                  </c:pt>
                  <c:pt idx="110">
                    <c:v>Batata</c:v>
                  </c:pt>
                  <c:pt idx="111">
                    <c:v>Bolacha</c:v>
                  </c:pt>
                  <c:pt idx="112">
                    <c:v>Açúcar</c:v>
                  </c:pt>
                  <c:pt idx="113">
                    <c:v>Biscoito</c:v>
                  </c:pt>
                  <c:pt idx="114">
                    <c:v>Carne bovina</c:v>
                  </c:pt>
                  <c:pt idx="115">
                    <c:v>Grão de bico</c:v>
                  </c:pt>
                  <c:pt idx="116">
                    <c:v>Mostarda</c:v>
                  </c:pt>
                  <c:pt idx="117">
                    <c:v>Leite</c:v>
                  </c:pt>
                  <c:pt idx="118">
                    <c:v>Pastel</c:v>
                  </c:pt>
                  <c:pt idx="119">
                    <c:v>Sorvete</c:v>
                  </c:pt>
                  <c:pt idx="120">
                    <c:v>Alface</c:v>
                  </c:pt>
                  <c:pt idx="121">
                    <c:v>Pastilha</c:v>
                  </c:pt>
                  <c:pt idx="122">
                    <c:v>Uva</c:v>
                  </c:pt>
                  <c:pt idx="123">
                    <c:v>Alface</c:v>
                  </c:pt>
                  <c:pt idx="124">
                    <c:v>Café</c:v>
                  </c:pt>
                  <c:pt idx="125">
                    <c:v>Detergente</c:v>
                  </c:pt>
                  <c:pt idx="126">
                    <c:v>Coxinha</c:v>
                  </c:pt>
                  <c:pt idx="127">
                    <c:v>Frango</c:v>
                  </c:pt>
                  <c:pt idx="128">
                    <c:v>Macarrão</c:v>
                  </c:pt>
                  <c:pt idx="129">
                    <c:v>Chá</c:v>
                  </c:pt>
                  <c:pt idx="130">
                    <c:v>Detergente</c:v>
                  </c:pt>
                  <c:pt idx="131">
                    <c:v>Amaciante</c:v>
                  </c:pt>
                  <c:pt idx="132">
                    <c:v>Pastilha</c:v>
                  </c:pt>
                  <c:pt idx="133">
                    <c:v>Farofa</c:v>
                  </c:pt>
                  <c:pt idx="134">
                    <c:v>Leite</c:v>
                  </c:pt>
                  <c:pt idx="135">
                    <c:v>Cebola</c:v>
                  </c:pt>
                  <c:pt idx="136">
                    <c:v>Esfiha</c:v>
                  </c:pt>
                  <c:pt idx="137">
                    <c:v>Cebola</c:v>
                  </c:pt>
                  <c:pt idx="138">
                    <c:v>Lentilha</c:v>
                  </c:pt>
                  <c:pt idx="139">
                    <c:v>Molho inglês</c:v>
                  </c:pt>
                  <c:pt idx="140">
                    <c:v>Salsicha</c:v>
                  </c:pt>
                  <c:pt idx="141">
                    <c:v>Uva</c:v>
                  </c:pt>
                  <c:pt idx="142">
                    <c:v>Whisky</c:v>
                  </c:pt>
                  <c:pt idx="143">
                    <c:v>Açúcar</c:v>
                  </c:pt>
                  <c:pt idx="144">
                    <c:v>Café</c:v>
                  </c:pt>
                  <c:pt idx="145">
                    <c:v>Queijo</c:v>
                  </c:pt>
                  <c:pt idx="146">
                    <c:v>Aveia</c:v>
                  </c:pt>
                  <c:pt idx="147">
                    <c:v>Creme dental</c:v>
                  </c:pt>
                  <c:pt idx="148">
                    <c:v>Esponja</c:v>
                  </c:pt>
                  <c:pt idx="149">
                    <c:v>Frango</c:v>
                  </c:pt>
                  <c:pt idx="150">
                    <c:v>Leite condensado</c:v>
                  </c:pt>
                  <c:pt idx="151">
                    <c:v>Pudim</c:v>
                  </c:pt>
                  <c:pt idx="152">
                    <c:v>Granola</c:v>
                  </c:pt>
                  <c:pt idx="153">
                    <c:v>Pastel</c:v>
                  </c:pt>
                  <c:pt idx="154">
                    <c:v>Sorvete</c:v>
                  </c:pt>
                  <c:pt idx="155">
                    <c:v>Grão de bico</c:v>
                  </c:pt>
                  <c:pt idx="156">
                    <c:v>Mostarda</c:v>
                  </c:pt>
                  <c:pt idx="157">
                    <c:v>Pimenta</c:v>
                  </c:pt>
                  <c:pt idx="158">
                    <c:v>Pimenta</c:v>
                  </c:pt>
                  <c:pt idx="159">
                    <c:v>Shoyu</c:v>
                  </c:pt>
                  <c:pt idx="160">
                    <c:v>Amaciante</c:v>
                  </c:pt>
                  <c:pt idx="161">
                    <c:v>Lentilha</c:v>
                  </c:pt>
                  <c:pt idx="162">
                    <c:v>Álcool</c:v>
                  </c:pt>
                  <c:pt idx="163">
                    <c:v>Coxinha</c:v>
                  </c:pt>
                  <c:pt idx="164">
                    <c:v>Farofa</c:v>
                  </c:pt>
                  <c:pt idx="165">
                    <c:v>Amaciante</c:v>
                  </c:pt>
                  <c:pt idx="166">
                    <c:v>Carne bovina</c:v>
                  </c:pt>
                  <c:pt idx="167">
                    <c:v>Iogurte</c:v>
                  </c:pt>
                  <c:pt idx="168">
                    <c:v>Peixe</c:v>
                  </c:pt>
                  <c:pt idx="169">
                    <c:v>Sabão em pó</c:v>
                  </c:pt>
                  <c:pt idx="170">
                    <c:v>Salsicha</c:v>
                  </c:pt>
                  <c:pt idx="171">
                    <c:v>Coxinha</c:v>
                  </c:pt>
                  <c:pt idx="172">
                    <c:v>Ervilha</c:v>
                  </c:pt>
                  <c:pt idx="173">
                    <c:v>Sardinha</c:v>
                  </c:pt>
                  <c:pt idx="174">
                    <c:v>Cebola</c:v>
                  </c:pt>
                  <c:pt idx="175">
                    <c:v>Pizza congelada</c:v>
                  </c:pt>
                  <c:pt idx="176">
                    <c:v>Sabonete</c:v>
                  </c:pt>
                  <c:pt idx="177">
                    <c:v>Iogurte</c:v>
                  </c:pt>
                  <c:pt idx="178">
                    <c:v>Mamão</c:v>
                  </c:pt>
                  <c:pt idx="179">
                    <c:v>Salsicha</c:v>
                  </c:pt>
                  <c:pt idx="180">
                    <c:v>Coxinha</c:v>
                  </c:pt>
                  <c:pt idx="181">
                    <c:v>Detergente</c:v>
                  </c:pt>
                  <c:pt idx="182">
                    <c:v>Esfiha</c:v>
                  </c:pt>
                  <c:pt idx="183">
                    <c:v>Farofa</c:v>
                  </c:pt>
                  <c:pt idx="184">
                    <c:v>Peixe</c:v>
                  </c:pt>
                  <c:pt idx="185">
                    <c:v>Sabão em pó</c:v>
                  </c:pt>
                  <c:pt idx="186">
                    <c:v>Álcool</c:v>
                  </c:pt>
                  <c:pt idx="187">
                    <c:v>Leite</c:v>
                  </c:pt>
                  <c:pt idx="188">
                    <c:v>Polpa de fruta</c:v>
                  </c:pt>
                  <c:pt idx="189">
                    <c:v>Pudim</c:v>
                  </c:pt>
                  <c:pt idx="190">
                    <c:v>Refrigerante</c:v>
                  </c:pt>
                  <c:pt idx="191">
                    <c:v>Fósforo</c:v>
                  </c:pt>
                  <c:pt idx="192">
                    <c:v>Papel higiênico</c:v>
                  </c:pt>
                </c:lvl>
                <c:lvl>
                  <c:pt idx="0">
                    <c:v>Alexandre Alves</c:v>
                  </c:pt>
                  <c:pt idx="3">
                    <c:v>Alexia Teixeira</c:v>
                  </c:pt>
                  <c:pt idx="6">
                    <c:v>Ana Beatriz da Cruz</c:v>
                  </c:pt>
                  <c:pt idx="8">
                    <c:v>Ana Clara Rezende</c:v>
                  </c:pt>
                  <c:pt idx="10">
                    <c:v>Ana Júlia Pires</c:v>
                  </c:pt>
                  <c:pt idx="13">
                    <c:v>Ana Laura Pires</c:v>
                  </c:pt>
                  <c:pt idx="16">
                    <c:v>Ana Lívia Pereira</c:v>
                  </c:pt>
                  <c:pt idx="19">
                    <c:v>Ana Paula Mendes</c:v>
                  </c:pt>
                  <c:pt idx="22">
                    <c:v>Arthur Cavalcanti</c:v>
                  </c:pt>
                  <c:pt idx="25">
                    <c:v>Arthur Melo</c:v>
                  </c:pt>
                  <c:pt idx="28">
                    <c:v>Bárbara Freitas</c:v>
                  </c:pt>
                  <c:pt idx="31">
                    <c:v>Beatriz Fernandes</c:v>
                  </c:pt>
                  <c:pt idx="34">
                    <c:v>Bruno Castro</c:v>
                  </c:pt>
                  <c:pt idx="36">
                    <c:v>Camila Rocha</c:v>
                  </c:pt>
                  <c:pt idx="39">
                    <c:v>Carolina Barbosa</c:v>
                  </c:pt>
                  <c:pt idx="42">
                    <c:v>Danilo Moraes</c:v>
                  </c:pt>
                  <c:pt idx="44">
                    <c:v>Danilo Ribeiro</c:v>
                  </c:pt>
                  <c:pt idx="47">
                    <c:v>Débora Nascimento</c:v>
                  </c:pt>
                  <c:pt idx="50">
                    <c:v>Diego Pinto</c:v>
                  </c:pt>
                  <c:pt idx="53">
                    <c:v>Dr. André Duarte</c:v>
                  </c:pt>
                  <c:pt idx="56">
                    <c:v>Dr. Lucas da Costa</c:v>
                  </c:pt>
                  <c:pt idx="59">
                    <c:v>Dr. Nicolas Ribeiro</c:v>
                  </c:pt>
                  <c:pt idx="62">
                    <c:v>Eduarda Melo</c:v>
                  </c:pt>
                  <c:pt idx="65">
                    <c:v>Eduardo Farias</c:v>
                  </c:pt>
                  <c:pt idx="68">
                    <c:v>Eduardo Gomes</c:v>
                  </c:pt>
                  <c:pt idx="70">
                    <c:v>Felipe Carvalho</c:v>
                  </c:pt>
                  <c:pt idx="73">
                    <c:v>Felipe Santos</c:v>
                  </c:pt>
                  <c:pt idx="75">
                    <c:v>Fernanda Lima</c:v>
                  </c:pt>
                  <c:pt idx="78">
                    <c:v>Fernando da Rosa</c:v>
                  </c:pt>
                  <c:pt idx="81">
                    <c:v>Gabriela Fogaça</c:v>
                  </c:pt>
                  <c:pt idx="84">
                    <c:v>Gabriela Torres</c:v>
                  </c:pt>
                  <c:pt idx="90">
                    <c:v>Heloísa da Cruz</c:v>
                  </c:pt>
                  <c:pt idx="93">
                    <c:v>Isabelly Cardoso</c:v>
                  </c:pt>
                  <c:pt idx="96">
                    <c:v>Isadora Rezende</c:v>
                  </c:pt>
                  <c:pt idx="99">
                    <c:v>Isis Sales</c:v>
                  </c:pt>
                  <c:pt idx="102">
                    <c:v>João Carlos Ribeiro</c:v>
                  </c:pt>
                  <c:pt idx="105">
                    <c:v>João Guilherme Farias</c:v>
                  </c:pt>
                  <c:pt idx="107">
                    <c:v>João Miguel Cunha</c:v>
                  </c:pt>
                  <c:pt idx="110">
                    <c:v>João Miguel Pereira</c:v>
                  </c:pt>
                  <c:pt idx="112">
                    <c:v>Julia Rodrigues</c:v>
                  </c:pt>
                  <c:pt idx="115">
                    <c:v>Juliana Ramos</c:v>
                  </c:pt>
                  <c:pt idx="117">
                    <c:v>Lavínia Araújo</c:v>
                  </c:pt>
                  <c:pt idx="120">
                    <c:v>Lavínia Azevedo</c:v>
                  </c:pt>
                  <c:pt idx="123">
                    <c:v>Luana Cardoso</c:v>
                  </c:pt>
                  <c:pt idx="126">
                    <c:v>Lucas Oliveira</c:v>
                  </c:pt>
                  <c:pt idx="129">
                    <c:v>Luigi das Neves</c:v>
                  </c:pt>
                  <c:pt idx="131">
                    <c:v>Marcos Silva</c:v>
                  </c:pt>
                  <c:pt idx="133">
                    <c:v>Maria Luiza Caldeira</c:v>
                  </c:pt>
                  <c:pt idx="135">
                    <c:v>Maria Luiza Nunes</c:v>
                  </c:pt>
                  <c:pt idx="137">
                    <c:v>Melissa Ferreira</c:v>
                  </c:pt>
                  <c:pt idx="140">
                    <c:v>Murilo Moreira</c:v>
                  </c:pt>
                  <c:pt idx="143">
                    <c:v>Nathan da Mata</c:v>
                  </c:pt>
                  <c:pt idx="146">
                    <c:v>Patrícia Andrade</c:v>
                  </c:pt>
                  <c:pt idx="152">
                    <c:v>Pedro Henrique Souza</c:v>
                  </c:pt>
                  <c:pt idx="155">
                    <c:v>Pedro Lucas Monteiro</c:v>
                  </c:pt>
                  <c:pt idx="158">
                    <c:v>Pietro da Rosa</c:v>
                  </c:pt>
                  <c:pt idx="160">
                    <c:v>Raquel Cavalcanti</c:v>
                  </c:pt>
                  <c:pt idx="162">
                    <c:v>Rebeca Campos</c:v>
                  </c:pt>
                  <c:pt idx="165">
                    <c:v>Renan Ramos</c:v>
                  </c:pt>
                  <c:pt idx="168">
                    <c:v>Sabrina Nunes</c:v>
                  </c:pt>
                  <c:pt idx="171">
                    <c:v>Sra. Raquel Porto</c:v>
                  </c:pt>
                  <c:pt idx="174">
                    <c:v>Srta. Raquel Castro</c:v>
                  </c:pt>
                  <c:pt idx="177">
                    <c:v>Tatiane Martins</c:v>
                  </c:pt>
                  <c:pt idx="180">
                    <c:v>Thiago Correia</c:v>
                  </c:pt>
                  <c:pt idx="186">
                    <c:v>Vinícius Pires</c:v>
                  </c:pt>
                  <c:pt idx="188">
                    <c:v>Vitor Gabriel Alves</c:v>
                  </c:pt>
                  <c:pt idx="191">
                    <c:v>Yago Moreira</c:v>
                  </c:pt>
                </c:lvl>
              </c:multiLvlStrCache>
            </c:multiLvlStrRef>
          </c:cat>
          <c:val>
            <c:numRef>
              <c:f>'Td6'!$B$4:$B$264</c:f>
              <c:numCache>
                <c:formatCode>General</c:formatCode>
                <c:ptCount val="193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53</c:v>
                </c:pt>
                <c:pt idx="4">
                  <c:v>12</c:v>
                </c:pt>
                <c:pt idx="5">
                  <c:v>34</c:v>
                </c:pt>
                <c:pt idx="6">
                  <c:v>54</c:v>
                </c:pt>
                <c:pt idx="7">
                  <c:v>212</c:v>
                </c:pt>
                <c:pt idx="8">
                  <c:v>343</c:v>
                </c:pt>
                <c:pt idx="9">
                  <c:v>32</c:v>
                </c:pt>
                <c:pt idx="10">
                  <c:v>12</c:v>
                </c:pt>
                <c:pt idx="11">
                  <c:v>42</c:v>
                </c:pt>
                <c:pt idx="12">
                  <c:v>12</c:v>
                </c:pt>
                <c:pt idx="13">
                  <c:v>65</c:v>
                </c:pt>
                <c:pt idx="14">
                  <c:v>22</c:v>
                </c:pt>
                <c:pt idx="15">
                  <c:v>34</c:v>
                </c:pt>
                <c:pt idx="16">
                  <c:v>22</c:v>
                </c:pt>
                <c:pt idx="17">
                  <c:v>12</c:v>
                </c:pt>
                <c:pt idx="18">
                  <c:v>12</c:v>
                </c:pt>
                <c:pt idx="19">
                  <c:v>32</c:v>
                </c:pt>
                <c:pt idx="20">
                  <c:v>43</c:v>
                </c:pt>
                <c:pt idx="21">
                  <c:v>342</c:v>
                </c:pt>
                <c:pt idx="22">
                  <c:v>22</c:v>
                </c:pt>
                <c:pt idx="23">
                  <c:v>23</c:v>
                </c:pt>
                <c:pt idx="24">
                  <c:v>23</c:v>
                </c:pt>
                <c:pt idx="25">
                  <c:v>43</c:v>
                </c:pt>
                <c:pt idx="26">
                  <c:v>45</c:v>
                </c:pt>
                <c:pt idx="27">
                  <c:v>12</c:v>
                </c:pt>
                <c:pt idx="28">
                  <c:v>33</c:v>
                </c:pt>
                <c:pt idx="29">
                  <c:v>24</c:v>
                </c:pt>
                <c:pt idx="30">
                  <c:v>43</c:v>
                </c:pt>
                <c:pt idx="31">
                  <c:v>332</c:v>
                </c:pt>
                <c:pt idx="32">
                  <c:v>341</c:v>
                </c:pt>
                <c:pt idx="33">
                  <c:v>45</c:v>
                </c:pt>
                <c:pt idx="34">
                  <c:v>76</c:v>
                </c:pt>
                <c:pt idx="35">
                  <c:v>232</c:v>
                </c:pt>
                <c:pt idx="36">
                  <c:v>12</c:v>
                </c:pt>
                <c:pt idx="37">
                  <c:v>123</c:v>
                </c:pt>
                <c:pt idx="38">
                  <c:v>32</c:v>
                </c:pt>
                <c:pt idx="39">
                  <c:v>23</c:v>
                </c:pt>
                <c:pt idx="40">
                  <c:v>323</c:v>
                </c:pt>
                <c:pt idx="41">
                  <c:v>32</c:v>
                </c:pt>
                <c:pt idx="42">
                  <c:v>11</c:v>
                </c:pt>
                <c:pt idx="43">
                  <c:v>46</c:v>
                </c:pt>
                <c:pt idx="44">
                  <c:v>123</c:v>
                </c:pt>
                <c:pt idx="45">
                  <c:v>22</c:v>
                </c:pt>
                <c:pt idx="46">
                  <c:v>12</c:v>
                </c:pt>
                <c:pt idx="47">
                  <c:v>43</c:v>
                </c:pt>
                <c:pt idx="48">
                  <c:v>32</c:v>
                </c:pt>
                <c:pt idx="49">
                  <c:v>324</c:v>
                </c:pt>
                <c:pt idx="50">
                  <c:v>32</c:v>
                </c:pt>
                <c:pt idx="51">
                  <c:v>22</c:v>
                </c:pt>
                <c:pt idx="52">
                  <c:v>32</c:v>
                </c:pt>
                <c:pt idx="53">
                  <c:v>22</c:v>
                </c:pt>
                <c:pt idx="54">
                  <c:v>12</c:v>
                </c:pt>
                <c:pt idx="55">
                  <c:v>22</c:v>
                </c:pt>
                <c:pt idx="56">
                  <c:v>12</c:v>
                </c:pt>
                <c:pt idx="57">
                  <c:v>8</c:v>
                </c:pt>
                <c:pt idx="58">
                  <c:v>43</c:v>
                </c:pt>
                <c:pt idx="59">
                  <c:v>22</c:v>
                </c:pt>
                <c:pt idx="60">
                  <c:v>212</c:v>
                </c:pt>
                <c:pt idx="61">
                  <c:v>54</c:v>
                </c:pt>
                <c:pt idx="62">
                  <c:v>12</c:v>
                </c:pt>
                <c:pt idx="63">
                  <c:v>22</c:v>
                </c:pt>
                <c:pt idx="64">
                  <c:v>23</c:v>
                </c:pt>
                <c:pt idx="65">
                  <c:v>56</c:v>
                </c:pt>
                <c:pt idx="66">
                  <c:v>432</c:v>
                </c:pt>
                <c:pt idx="67">
                  <c:v>32</c:v>
                </c:pt>
                <c:pt idx="68">
                  <c:v>33</c:v>
                </c:pt>
                <c:pt idx="69">
                  <c:v>84</c:v>
                </c:pt>
                <c:pt idx="70">
                  <c:v>43</c:v>
                </c:pt>
                <c:pt idx="71">
                  <c:v>32</c:v>
                </c:pt>
                <c:pt idx="72">
                  <c:v>22</c:v>
                </c:pt>
                <c:pt idx="73">
                  <c:v>32</c:v>
                </c:pt>
                <c:pt idx="74">
                  <c:v>43</c:v>
                </c:pt>
                <c:pt idx="75">
                  <c:v>23</c:v>
                </c:pt>
                <c:pt idx="76">
                  <c:v>32</c:v>
                </c:pt>
                <c:pt idx="77">
                  <c:v>223</c:v>
                </c:pt>
                <c:pt idx="78">
                  <c:v>432</c:v>
                </c:pt>
                <c:pt idx="79">
                  <c:v>22</c:v>
                </c:pt>
                <c:pt idx="80">
                  <c:v>43</c:v>
                </c:pt>
                <c:pt idx="81">
                  <c:v>21</c:v>
                </c:pt>
                <c:pt idx="82">
                  <c:v>43</c:v>
                </c:pt>
                <c:pt idx="83">
                  <c:v>123</c:v>
                </c:pt>
                <c:pt idx="84">
                  <c:v>233</c:v>
                </c:pt>
                <c:pt idx="85">
                  <c:v>23</c:v>
                </c:pt>
                <c:pt idx="86">
                  <c:v>32</c:v>
                </c:pt>
                <c:pt idx="87">
                  <c:v>43</c:v>
                </c:pt>
                <c:pt idx="88">
                  <c:v>43</c:v>
                </c:pt>
                <c:pt idx="89">
                  <c:v>22</c:v>
                </c:pt>
                <c:pt idx="90">
                  <c:v>21</c:v>
                </c:pt>
                <c:pt idx="91">
                  <c:v>34</c:v>
                </c:pt>
                <c:pt idx="92">
                  <c:v>22</c:v>
                </c:pt>
                <c:pt idx="93">
                  <c:v>34</c:v>
                </c:pt>
                <c:pt idx="94">
                  <c:v>32</c:v>
                </c:pt>
                <c:pt idx="95">
                  <c:v>42</c:v>
                </c:pt>
                <c:pt idx="96">
                  <c:v>12</c:v>
                </c:pt>
                <c:pt idx="97">
                  <c:v>43</c:v>
                </c:pt>
                <c:pt idx="98">
                  <c:v>11</c:v>
                </c:pt>
                <c:pt idx="99">
                  <c:v>43</c:v>
                </c:pt>
                <c:pt idx="100">
                  <c:v>12</c:v>
                </c:pt>
                <c:pt idx="101">
                  <c:v>23</c:v>
                </c:pt>
                <c:pt idx="102">
                  <c:v>32</c:v>
                </c:pt>
                <c:pt idx="103">
                  <c:v>32</c:v>
                </c:pt>
                <c:pt idx="104">
                  <c:v>233</c:v>
                </c:pt>
                <c:pt idx="105">
                  <c:v>34</c:v>
                </c:pt>
                <c:pt idx="106">
                  <c:v>3</c:v>
                </c:pt>
                <c:pt idx="107">
                  <c:v>12</c:v>
                </c:pt>
                <c:pt idx="108">
                  <c:v>43</c:v>
                </c:pt>
                <c:pt idx="109">
                  <c:v>23</c:v>
                </c:pt>
                <c:pt idx="110">
                  <c:v>43</c:v>
                </c:pt>
                <c:pt idx="111">
                  <c:v>43</c:v>
                </c:pt>
                <c:pt idx="112">
                  <c:v>23</c:v>
                </c:pt>
                <c:pt idx="113">
                  <c:v>22</c:v>
                </c:pt>
                <c:pt idx="114">
                  <c:v>223</c:v>
                </c:pt>
                <c:pt idx="115">
                  <c:v>424</c:v>
                </c:pt>
                <c:pt idx="116">
                  <c:v>6</c:v>
                </c:pt>
                <c:pt idx="117">
                  <c:v>23</c:v>
                </c:pt>
                <c:pt idx="118">
                  <c:v>121</c:v>
                </c:pt>
                <c:pt idx="119">
                  <c:v>43</c:v>
                </c:pt>
                <c:pt idx="120">
                  <c:v>432</c:v>
                </c:pt>
                <c:pt idx="121">
                  <c:v>75</c:v>
                </c:pt>
                <c:pt idx="122">
                  <c:v>43</c:v>
                </c:pt>
                <c:pt idx="123">
                  <c:v>33</c:v>
                </c:pt>
                <c:pt idx="124">
                  <c:v>6</c:v>
                </c:pt>
                <c:pt idx="125">
                  <c:v>23</c:v>
                </c:pt>
                <c:pt idx="126">
                  <c:v>42</c:v>
                </c:pt>
                <c:pt idx="127">
                  <c:v>87</c:v>
                </c:pt>
                <c:pt idx="128">
                  <c:v>22</c:v>
                </c:pt>
                <c:pt idx="129">
                  <c:v>35</c:v>
                </c:pt>
                <c:pt idx="130">
                  <c:v>45</c:v>
                </c:pt>
                <c:pt idx="131">
                  <c:v>54</c:v>
                </c:pt>
                <c:pt idx="132">
                  <c:v>464</c:v>
                </c:pt>
                <c:pt idx="133">
                  <c:v>123</c:v>
                </c:pt>
                <c:pt idx="134">
                  <c:v>25</c:v>
                </c:pt>
                <c:pt idx="135">
                  <c:v>43</c:v>
                </c:pt>
                <c:pt idx="136">
                  <c:v>22</c:v>
                </c:pt>
                <c:pt idx="137">
                  <c:v>23</c:v>
                </c:pt>
                <c:pt idx="138">
                  <c:v>412</c:v>
                </c:pt>
                <c:pt idx="139">
                  <c:v>43</c:v>
                </c:pt>
                <c:pt idx="140">
                  <c:v>22</c:v>
                </c:pt>
                <c:pt idx="141">
                  <c:v>12</c:v>
                </c:pt>
                <c:pt idx="142">
                  <c:v>54</c:v>
                </c:pt>
                <c:pt idx="143">
                  <c:v>32</c:v>
                </c:pt>
                <c:pt idx="144">
                  <c:v>32</c:v>
                </c:pt>
                <c:pt idx="145">
                  <c:v>12</c:v>
                </c:pt>
                <c:pt idx="146">
                  <c:v>54</c:v>
                </c:pt>
                <c:pt idx="147">
                  <c:v>23</c:v>
                </c:pt>
                <c:pt idx="148">
                  <c:v>322</c:v>
                </c:pt>
                <c:pt idx="149">
                  <c:v>343</c:v>
                </c:pt>
                <c:pt idx="150">
                  <c:v>32</c:v>
                </c:pt>
                <c:pt idx="151">
                  <c:v>8</c:v>
                </c:pt>
                <c:pt idx="152">
                  <c:v>32</c:v>
                </c:pt>
                <c:pt idx="153">
                  <c:v>32</c:v>
                </c:pt>
                <c:pt idx="154">
                  <c:v>234</c:v>
                </c:pt>
                <c:pt idx="155">
                  <c:v>34</c:v>
                </c:pt>
                <c:pt idx="156">
                  <c:v>22</c:v>
                </c:pt>
                <c:pt idx="157">
                  <c:v>43</c:v>
                </c:pt>
                <c:pt idx="158">
                  <c:v>22</c:v>
                </c:pt>
                <c:pt idx="159">
                  <c:v>32</c:v>
                </c:pt>
                <c:pt idx="160">
                  <c:v>232</c:v>
                </c:pt>
                <c:pt idx="161">
                  <c:v>77</c:v>
                </c:pt>
                <c:pt idx="162">
                  <c:v>33</c:v>
                </c:pt>
                <c:pt idx="163">
                  <c:v>23</c:v>
                </c:pt>
                <c:pt idx="164">
                  <c:v>23</c:v>
                </c:pt>
                <c:pt idx="165">
                  <c:v>431</c:v>
                </c:pt>
                <c:pt idx="166">
                  <c:v>23</c:v>
                </c:pt>
                <c:pt idx="167">
                  <c:v>22</c:v>
                </c:pt>
                <c:pt idx="168">
                  <c:v>3</c:v>
                </c:pt>
                <c:pt idx="169">
                  <c:v>22</c:v>
                </c:pt>
                <c:pt idx="170">
                  <c:v>321</c:v>
                </c:pt>
                <c:pt idx="171">
                  <c:v>421</c:v>
                </c:pt>
                <c:pt idx="172">
                  <c:v>12</c:v>
                </c:pt>
                <c:pt idx="173">
                  <c:v>22</c:v>
                </c:pt>
                <c:pt idx="174">
                  <c:v>12</c:v>
                </c:pt>
                <c:pt idx="175">
                  <c:v>43</c:v>
                </c:pt>
                <c:pt idx="176">
                  <c:v>32</c:v>
                </c:pt>
                <c:pt idx="177">
                  <c:v>22</c:v>
                </c:pt>
                <c:pt idx="178">
                  <c:v>32</c:v>
                </c:pt>
                <c:pt idx="179">
                  <c:v>43</c:v>
                </c:pt>
                <c:pt idx="180">
                  <c:v>12</c:v>
                </c:pt>
                <c:pt idx="181">
                  <c:v>343</c:v>
                </c:pt>
                <c:pt idx="182">
                  <c:v>43</c:v>
                </c:pt>
                <c:pt idx="183">
                  <c:v>22</c:v>
                </c:pt>
                <c:pt idx="184">
                  <c:v>32</c:v>
                </c:pt>
                <c:pt idx="185">
                  <c:v>432</c:v>
                </c:pt>
                <c:pt idx="186">
                  <c:v>23</c:v>
                </c:pt>
                <c:pt idx="187">
                  <c:v>64</c:v>
                </c:pt>
                <c:pt idx="188">
                  <c:v>22</c:v>
                </c:pt>
                <c:pt idx="189">
                  <c:v>341</c:v>
                </c:pt>
                <c:pt idx="190">
                  <c:v>12</c:v>
                </c:pt>
                <c:pt idx="191">
                  <c:v>233</c:v>
                </c:pt>
                <c:pt idx="19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E-49F2-AA81-7DE3A1A7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6102863"/>
        <c:axId val="1416103343"/>
      </c:barChart>
      <c:catAx>
        <c:axId val="141610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103343"/>
        <c:crosses val="autoZero"/>
        <c:auto val="1"/>
        <c:lblAlgn val="ctr"/>
        <c:lblOffset val="100"/>
        <c:noMultiLvlLbl val="0"/>
      </c:catAx>
      <c:valAx>
        <c:axId val="141610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10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.xlsm]Td7!Tabela dinâmica14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'Td7'!$A$4:$A$262</c:f>
              <c:multiLvlStrCache>
                <c:ptCount val="193"/>
                <c:lvl>
                  <c:pt idx="0">
                    <c:v>Débora Nascimento</c:v>
                  </c:pt>
                  <c:pt idx="1">
                    <c:v>Dr. Lucas da Costa</c:v>
                  </c:pt>
                  <c:pt idx="2">
                    <c:v>Gabriela Fogaça</c:v>
                  </c:pt>
                  <c:pt idx="3">
                    <c:v>Gabriela Torres</c:v>
                  </c:pt>
                  <c:pt idx="4">
                    <c:v>Isis Sales</c:v>
                  </c:pt>
                  <c:pt idx="5">
                    <c:v>João Carlos Ribeiro</c:v>
                  </c:pt>
                  <c:pt idx="6">
                    <c:v>Julia Rodrigues</c:v>
                  </c:pt>
                  <c:pt idx="7">
                    <c:v>Nathan da Mata</c:v>
                  </c:pt>
                  <c:pt idx="8">
                    <c:v>Rebeca Campos</c:v>
                  </c:pt>
                  <c:pt idx="9">
                    <c:v>Vinícius Pires</c:v>
                  </c:pt>
                  <c:pt idx="10">
                    <c:v>Eduardo Farias</c:v>
                  </c:pt>
                  <c:pt idx="11">
                    <c:v>Gabriela Torres</c:v>
                  </c:pt>
                  <c:pt idx="12">
                    <c:v>Lavínia Azevedo</c:v>
                  </c:pt>
                  <c:pt idx="13">
                    <c:v>Luana Cardoso</c:v>
                  </c:pt>
                  <c:pt idx="14">
                    <c:v>Eduarda Melo</c:v>
                  </c:pt>
                  <c:pt idx="15">
                    <c:v>Marcos Silva</c:v>
                  </c:pt>
                  <c:pt idx="16">
                    <c:v>Raquel Cavalcanti</c:v>
                  </c:pt>
                  <c:pt idx="17">
                    <c:v>Renan Ramos</c:v>
                  </c:pt>
                  <c:pt idx="18">
                    <c:v>João Miguel Cunha</c:v>
                  </c:pt>
                  <c:pt idx="19">
                    <c:v>Patrícia Andrade</c:v>
                  </c:pt>
                  <c:pt idx="20">
                    <c:v>Heloísa da Cruz</c:v>
                  </c:pt>
                  <c:pt idx="21">
                    <c:v>João Miguel Cunha</c:v>
                  </c:pt>
                  <c:pt idx="22">
                    <c:v>Ana Laura Pires</c:v>
                  </c:pt>
                  <c:pt idx="23">
                    <c:v>João Miguel Pereira</c:v>
                  </c:pt>
                  <c:pt idx="24">
                    <c:v>Camila Rocha</c:v>
                  </c:pt>
                  <c:pt idx="25">
                    <c:v>Fernando da Rosa</c:v>
                  </c:pt>
                  <c:pt idx="26">
                    <c:v>Dr. Lucas da Costa</c:v>
                  </c:pt>
                  <c:pt idx="27">
                    <c:v>Julia Rodrigues</c:v>
                  </c:pt>
                  <c:pt idx="28">
                    <c:v>Bárbara Freitas</c:v>
                  </c:pt>
                  <c:pt idx="29">
                    <c:v>João Miguel Pereira</c:v>
                  </c:pt>
                  <c:pt idx="30">
                    <c:v>Eduarda Melo</c:v>
                  </c:pt>
                  <c:pt idx="31">
                    <c:v>Luana Cardoso</c:v>
                  </c:pt>
                  <c:pt idx="32">
                    <c:v>Nathan da Mata</c:v>
                  </c:pt>
                  <c:pt idx="33">
                    <c:v>Ana Laura Pires</c:v>
                  </c:pt>
                  <c:pt idx="34">
                    <c:v>Felipe Santos</c:v>
                  </c:pt>
                  <c:pt idx="35">
                    <c:v>Julia Rodrigues</c:v>
                  </c:pt>
                  <c:pt idx="36">
                    <c:v>Renan Ramos</c:v>
                  </c:pt>
                  <c:pt idx="37">
                    <c:v>Ana Paula Mendes</c:v>
                  </c:pt>
                  <c:pt idx="38">
                    <c:v>Maria Luiza Nunes</c:v>
                  </c:pt>
                  <c:pt idx="39">
                    <c:v>Melissa Ferreira</c:v>
                  </c:pt>
                  <c:pt idx="40">
                    <c:v>Srta. Raquel Castro</c:v>
                  </c:pt>
                  <c:pt idx="41">
                    <c:v>Alexia Teixeira</c:v>
                  </c:pt>
                  <c:pt idx="42">
                    <c:v>Beatriz Fernandes</c:v>
                  </c:pt>
                  <c:pt idx="43">
                    <c:v>Dr. Nicolas Ribeiro</c:v>
                  </c:pt>
                  <c:pt idx="44">
                    <c:v>Luigi das Neves</c:v>
                  </c:pt>
                  <c:pt idx="45">
                    <c:v>Gabriela Torres</c:v>
                  </c:pt>
                  <c:pt idx="46">
                    <c:v>Isis Sales</c:v>
                  </c:pt>
                  <c:pt idx="47">
                    <c:v>Ana Lívia Pereira</c:v>
                  </c:pt>
                  <c:pt idx="48">
                    <c:v>Arthur Cavalcanti</c:v>
                  </c:pt>
                  <c:pt idx="49">
                    <c:v>Isabelly Cardoso</c:v>
                  </c:pt>
                  <c:pt idx="50">
                    <c:v>Lucas Oliveira</c:v>
                  </c:pt>
                  <c:pt idx="51">
                    <c:v>Rebeca Campos</c:v>
                  </c:pt>
                  <c:pt idx="52">
                    <c:v>Sra. Raquel Porto</c:v>
                  </c:pt>
                  <c:pt idx="53">
                    <c:v>Thiago Correia</c:v>
                  </c:pt>
                  <c:pt idx="54">
                    <c:v>Alexia Teixeira</c:v>
                  </c:pt>
                  <c:pt idx="55">
                    <c:v>Dr. Nicolas Ribeiro</c:v>
                  </c:pt>
                  <c:pt idx="56">
                    <c:v>Dr. André Duarte</c:v>
                  </c:pt>
                  <c:pt idx="57">
                    <c:v>Patrícia Andrade</c:v>
                  </c:pt>
                  <c:pt idx="58">
                    <c:v>Eduardo Gomes</c:v>
                  </c:pt>
                  <c:pt idx="59">
                    <c:v>Heloísa da Cruz</c:v>
                  </c:pt>
                  <c:pt idx="60">
                    <c:v>Arthur Melo</c:v>
                  </c:pt>
                  <c:pt idx="61">
                    <c:v>Beatriz Fernandes</c:v>
                  </c:pt>
                  <c:pt idx="62">
                    <c:v>Luana Cardoso</c:v>
                  </c:pt>
                  <c:pt idx="63">
                    <c:v>Luigi das Neves</c:v>
                  </c:pt>
                  <c:pt idx="64">
                    <c:v>Thiago Correia</c:v>
                  </c:pt>
                  <c:pt idx="65">
                    <c:v>Débora Nascimento</c:v>
                  </c:pt>
                  <c:pt idx="66">
                    <c:v>Sra. Raquel Porto</c:v>
                  </c:pt>
                  <c:pt idx="67">
                    <c:v>Ana Clara Rezende</c:v>
                  </c:pt>
                  <c:pt idx="68">
                    <c:v>Felipe Carvalho</c:v>
                  </c:pt>
                  <c:pt idx="69">
                    <c:v>Dr. Nicolas Ribeiro</c:v>
                  </c:pt>
                  <c:pt idx="70">
                    <c:v>Isabelly Cardoso</c:v>
                  </c:pt>
                  <c:pt idx="71">
                    <c:v>Maria Luiza Nunes</c:v>
                  </c:pt>
                  <c:pt idx="72">
                    <c:v>Thiago Correia</c:v>
                  </c:pt>
                  <c:pt idx="73">
                    <c:v>Dr. André Duarte</c:v>
                  </c:pt>
                  <c:pt idx="74">
                    <c:v>Patrícia Andrade</c:v>
                  </c:pt>
                  <c:pt idx="75">
                    <c:v>Arthur Melo</c:v>
                  </c:pt>
                  <c:pt idx="76">
                    <c:v>Dr. André Duarte</c:v>
                  </c:pt>
                  <c:pt idx="77">
                    <c:v>Gabriela Torres</c:v>
                  </c:pt>
                  <c:pt idx="78">
                    <c:v>Heloísa da Cruz</c:v>
                  </c:pt>
                  <c:pt idx="79">
                    <c:v>João Miguel Cunha</c:v>
                  </c:pt>
                  <c:pt idx="80">
                    <c:v>Maria Luiza Caldeira</c:v>
                  </c:pt>
                  <c:pt idx="81">
                    <c:v>Rebeca Campos</c:v>
                  </c:pt>
                  <c:pt idx="82">
                    <c:v>Thiago Correia</c:v>
                  </c:pt>
                  <c:pt idx="83">
                    <c:v>Diego Pinto</c:v>
                  </c:pt>
                  <c:pt idx="84">
                    <c:v>Yago Moreira</c:v>
                  </c:pt>
                  <c:pt idx="85">
                    <c:v>Alexandre Alves</c:v>
                  </c:pt>
                  <c:pt idx="86">
                    <c:v>Eduardo Farias</c:v>
                  </c:pt>
                  <c:pt idx="87">
                    <c:v>João Guilherme Farias</c:v>
                  </c:pt>
                  <c:pt idx="88">
                    <c:v>Lucas Oliveira</c:v>
                  </c:pt>
                  <c:pt idx="89">
                    <c:v>Patrícia Andrade</c:v>
                  </c:pt>
                  <c:pt idx="90">
                    <c:v>Ana Júlia Pires</c:v>
                  </c:pt>
                  <c:pt idx="91">
                    <c:v>João Carlos Ribeiro</c:v>
                  </c:pt>
                  <c:pt idx="92">
                    <c:v>Danilo Ribeiro</c:v>
                  </c:pt>
                  <c:pt idx="93">
                    <c:v>Pedro Henrique Souza</c:v>
                  </c:pt>
                  <c:pt idx="94">
                    <c:v>Fernanda Lima</c:v>
                  </c:pt>
                  <c:pt idx="95">
                    <c:v>Juliana Ramos</c:v>
                  </c:pt>
                  <c:pt idx="96">
                    <c:v>Pedro Lucas Monteiro</c:v>
                  </c:pt>
                  <c:pt idx="97">
                    <c:v>Ana Laura Pires</c:v>
                  </c:pt>
                  <c:pt idx="98">
                    <c:v>Bárbara Freitas</c:v>
                  </c:pt>
                  <c:pt idx="99">
                    <c:v>Renan Ramos</c:v>
                  </c:pt>
                  <c:pt idx="100">
                    <c:v>Tatiane Martins</c:v>
                  </c:pt>
                  <c:pt idx="101">
                    <c:v>Ana Paula Mendes</c:v>
                  </c:pt>
                  <c:pt idx="102">
                    <c:v>Dr. Lucas da Costa</c:v>
                  </c:pt>
                  <c:pt idx="103">
                    <c:v>Felipe Santos</c:v>
                  </c:pt>
                  <c:pt idx="104">
                    <c:v>Fernanda Lima</c:v>
                  </c:pt>
                  <c:pt idx="105">
                    <c:v>Isadora Rezende</c:v>
                  </c:pt>
                  <c:pt idx="106">
                    <c:v>Lavínia Araújo</c:v>
                  </c:pt>
                  <c:pt idx="107">
                    <c:v>Maria Luiza Caldeira</c:v>
                  </c:pt>
                  <c:pt idx="108">
                    <c:v>Vinícius Pires</c:v>
                  </c:pt>
                  <c:pt idx="109">
                    <c:v>João Guilherme Farias</c:v>
                  </c:pt>
                  <c:pt idx="110">
                    <c:v>Patrícia Andrade</c:v>
                  </c:pt>
                  <c:pt idx="111">
                    <c:v>Melissa Ferreira</c:v>
                  </c:pt>
                  <c:pt idx="112">
                    <c:v>Raquel Cavalcanti</c:v>
                  </c:pt>
                  <c:pt idx="113">
                    <c:v>Gabriela Fogaça</c:v>
                  </c:pt>
                  <c:pt idx="114">
                    <c:v>João Carlos Ribeiro</c:v>
                  </c:pt>
                  <c:pt idx="115">
                    <c:v>Ana Lívia Pereira</c:v>
                  </c:pt>
                  <c:pt idx="116">
                    <c:v>Isabelly Cardoso</c:v>
                  </c:pt>
                  <c:pt idx="117">
                    <c:v>Arthur Cavalcanti</c:v>
                  </c:pt>
                  <c:pt idx="118">
                    <c:v>Lucas Oliveira</c:v>
                  </c:pt>
                  <c:pt idx="119">
                    <c:v>Bruno Castro</c:v>
                  </c:pt>
                  <c:pt idx="120">
                    <c:v>Gabriela Fogaça</c:v>
                  </c:pt>
                  <c:pt idx="121">
                    <c:v>Bárbara Freitas</c:v>
                  </c:pt>
                  <c:pt idx="122">
                    <c:v>Tatiane Martins</c:v>
                  </c:pt>
                  <c:pt idx="123">
                    <c:v>Alexia Teixeira</c:v>
                  </c:pt>
                  <c:pt idx="124">
                    <c:v>Carolina Barbosa</c:v>
                  </c:pt>
                  <c:pt idx="125">
                    <c:v>Ana Paula Mendes</c:v>
                  </c:pt>
                  <c:pt idx="126">
                    <c:v>Melissa Ferreira</c:v>
                  </c:pt>
                  <c:pt idx="127">
                    <c:v>Ana Lívia Pereira</c:v>
                  </c:pt>
                  <c:pt idx="128">
                    <c:v>Bruno Castro</c:v>
                  </c:pt>
                  <c:pt idx="129">
                    <c:v>Felipe Carvalho</c:v>
                  </c:pt>
                  <c:pt idx="130">
                    <c:v>Fernando da Rosa</c:v>
                  </c:pt>
                  <c:pt idx="131">
                    <c:v>Juliana Ramos</c:v>
                  </c:pt>
                  <c:pt idx="132">
                    <c:v>Pedro Lucas Monteiro</c:v>
                  </c:pt>
                  <c:pt idx="133">
                    <c:v>Danilo Moraes</c:v>
                  </c:pt>
                  <c:pt idx="134">
                    <c:v>Yago Moreira</c:v>
                  </c:pt>
                  <c:pt idx="135">
                    <c:v>Danilo Ribeiro</c:v>
                  </c:pt>
                  <c:pt idx="136">
                    <c:v>Gabriela Torres</c:v>
                  </c:pt>
                  <c:pt idx="137">
                    <c:v>Lavínia Araújo</c:v>
                  </c:pt>
                  <c:pt idx="138">
                    <c:v>Pedro Henrique Souza</c:v>
                  </c:pt>
                  <c:pt idx="139">
                    <c:v>Danilo Moraes</c:v>
                  </c:pt>
                  <c:pt idx="140">
                    <c:v>Diego Pinto</c:v>
                  </c:pt>
                  <c:pt idx="141">
                    <c:v>Lavínia Azevedo</c:v>
                  </c:pt>
                  <c:pt idx="142">
                    <c:v>Marcos Silva</c:v>
                  </c:pt>
                  <c:pt idx="143">
                    <c:v>Sabrina Nunes</c:v>
                  </c:pt>
                  <c:pt idx="144">
                    <c:v>Thiago Correia</c:v>
                  </c:pt>
                  <c:pt idx="145">
                    <c:v>Pedro Lucas Monteiro</c:v>
                  </c:pt>
                  <c:pt idx="146">
                    <c:v>Pietro da Rosa</c:v>
                  </c:pt>
                  <c:pt idx="147">
                    <c:v>Camila Rocha</c:v>
                  </c:pt>
                  <c:pt idx="148">
                    <c:v>Srta. Raquel Castro</c:v>
                  </c:pt>
                  <c:pt idx="149">
                    <c:v>Carolina Barbosa</c:v>
                  </c:pt>
                  <c:pt idx="150">
                    <c:v>Vitor Gabriel Alves</c:v>
                  </c:pt>
                  <c:pt idx="151">
                    <c:v>Ana Beatriz da Cruz</c:v>
                  </c:pt>
                  <c:pt idx="152">
                    <c:v>Isis Sales</c:v>
                  </c:pt>
                  <c:pt idx="153">
                    <c:v>Patrícia Andrade</c:v>
                  </c:pt>
                  <c:pt idx="154">
                    <c:v>Vitor Gabriel Alves</c:v>
                  </c:pt>
                  <c:pt idx="155">
                    <c:v>Eduarda Melo</c:v>
                  </c:pt>
                  <c:pt idx="156">
                    <c:v>Nathan da Mata</c:v>
                  </c:pt>
                  <c:pt idx="157">
                    <c:v>Carolina Barbosa</c:v>
                  </c:pt>
                  <c:pt idx="158">
                    <c:v>Vitor Gabriel Alves</c:v>
                  </c:pt>
                  <c:pt idx="159">
                    <c:v>Alexandre Alves</c:v>
                  </c:pt>
                  <c:pt idx="160">
                    <c:v>Eduardo Farias</c:v>
                  </c:pt>
                  <c:pt idx="161">
                    <c:v>Sabrina Nunes</c:v>
                  </c:pt>
                  <c:pt idx="162">
                    <c:v>Thiago Correia</c:v>
                  </c:pt>
                  <c:pt idx="163">
                    <c:v>Camila Rocha</c:v>
                  </c:pt>
                  <c:pt idx="164">
                    <c:v>Srta. Raquel Castro</c:v>
                  </c:pt>
                  <c:pt idx="165">
                    <c:v>Ana Júlia Pires</c:v>
                  </c:pt>
                  <c:pt idx="166">
                    <c:v>Murilo Moreira</c:v>
                  </c:pt>
                  <c:pt idx="167">
                    <c:v>Sabrina Nunes</c:v>
                  </c:pt>
                  <c:pt idx="168">
                    <c:v>Tatiane Martins</c:v>
                  </c:pt>
                  <c:pt idx="169">
                    <c:v>Débora Nascimento</c:v>
                  </c:pt>
                  <c:pt idx="170">
                    <c:v>Sra. Raquel Porto</c:v>
                  </c:pt>
                  <c:pt idx="171">
                    <c:v>Alexandre Alves</c:v>
                  </c:pt>
                  <c:pt idx="172">
                    <c:v>Arthur Melo</c:v>
                  </c:pt>
                  <c:pt idx="173">
                    <c:v>Beatriz Fernandes</c:v>
                  </c:pt>
                  <c:pt idx="174">
                    <c:v>Felipe Carvalho</c:v>
                  </c:pt>
                  <c:pt idx="175">
                    <c:v>Fernando da Rosa</c:v>
                  </c:pt>
                  <c:pt idx="176">
                    <c:v>Pietro da Rosa</c:v>
                  </c:pt>
                  <c:pt idx="177">
                    <c:v>Fernanda Lima</c:v>
                  </c:pt>
                  <c:pt idx="178">
                    <c:v>Isadora Rezende</c:v>
                  </c:pt>
                  <c:pt idx="179">
                    <c:v>Lavínia Araújo</c:v>
                  </c:pt>
                  <c:pt idx="180">
                    <c:v>Pedro Henrique Souza</c:v>
                  </c:pt>
                  <c:pt idx="181">
                    <c:v>Ana Clara Rezende</c:v>
                  </c:pt>
                  <c:pt idx="182">
                    <c:v>Arthur Cavalcanti</c:v>
                  </c:pt>
                  <c:pt idx="183">
                    <c:v>Danilo Ribeiro</c:v>
                  </c:pt>
                  <c:pt idx="184">
                    <c:v>Eduardo Gomes</c:v>
                  </c:pt>
                  <c:pt idx="185">
                    <c:v>Gabriela Torres</c:v>
                  </c:pt>
                  <c:pt idx="186">
                    <c:v>Isadora Rezende</c:v>
                  </c:pt>
                  <c:pt idx="187">
                    <c:v>Ana Júlia Pires</c:v>
                  </c:pt>
                  <c:pt idx="188">
                    <c:v>Diego Pinto</c:v>
                  </c:pt>
                  <c:pt idx="189">
                    <c:v>Lavínia Azevedo</c:v>
                  </c:pt>
                  <c:pt idx="190">
                    <c:v>Murilo Moreira</c:v>
                  </c:pt>
                  <c:pt idx="191">
                    <c:v>Ana Beatriz da Cruz</c:v>
                  </c:pt>
                  <c:pt idx="192">
                    <c:v>Murilo Moreira</c:v>
                  </c:pt>
                </c:lvl>
                <c:lvl>
                  <c:pt idx="0">
                    <c:v>Açúcar</c:v>
                  </c:pt>
                  <c:pt idx="8">
                    <c:v>Álcool</c:v>
                  </c:pt>
                  <c:pt idx="10">
                    <c:v>Alface</c:v>
                  </c:pt>
                  <c:pt idx="14">
                    <c:v>Amaciante</c:v>
                  </c:pt>
                  <c:pt idx="18">
                    <c:v>Aveia</c:v>
                  </c:pt>
                  <c:pt idx="20">
                    <c:v>Banana</c:v>
                  </c:pt>
                  <c:pt idx="22">
                    <c:v>Batata</c:v>
                  </c:pt>
                  <c:pt idx="24">
                    <c:v>Batata frita congelada</c:v>
                  </c:pt>
                  <c:pt idx="26">
                    <c:v>Biscoito</c:v>
                  </c:pt>
                  <c:pt idx="28">
                    <c:v>Bolacha</c:v>
                  </c:pt>
                  <c:pt idx="30">
                    <c:v>Café</c:v>
                  </c:pt>
                  <c:pt idx="33">
                    <c:v>Carne bovina</c:v>
                  </c:pt>
                  <c:pt idx="37">
                    <c:v>Cebola</c:v>
                  </c:pt>
                  <c:pt idx="41">
                    <c:v>Chá</c:v>
                  </c:pt>
                  <c:pt idx="45">
                    <c:v>Condicionador</c:v>
                  </c:pt>
                  <c:pt idx="47">
                    <c:v>Coxinha</c:v>
                  </c:pt>
                  <c:pt idx="54">
                    <c:v>Creme de leite</c:v>
                  </c:pt>
                  <c:pt idx="56">
                    <c:v>Creme dental</c:v>
                  </c:pt>
                  <c:pt idx="58">
                    <c:v>Desinfetante</c:v>
                  </c:pt>
                  <c:pt idx="60">
                    <c:v>Detergente</c:v>
                  </c:pt>
                  <c:pt idx="65">
                    <c:v>Ervilha</c:v>
                  </c:pt>
                  <c:pt idx="67">
                    <c:v>Escova de dentes</c:v>
                  </c:pt>
                  <c:pt idx="69">
                    <c:v>Esfiha</c:v>
                  </c:pt>
                  <c:pt idx="73">
                    <c:v>Esponja</c:v>
                  </c:pt>
                  <c:pt idx="75">
                    <c:v>Farofa</c:v>
                  </c:pt>
                  <c:pt idx="83">
                    <c:v>Fósforo</c:v>
                  </c:pt>
                  <c:pt idx="85">
                    <c:v>Frango</c:v>
                  </c:pt>
                  <c:pt idx="90">
                    <c:v>Gelatina</c:v>
                  </c:pt>
                  <c:pt idx="92">
                    <c:v>Granola</c:v>
                  </c:pt>
                  <c:pt idx="94">
                    <c:v>Grão de bico</c:v>
                  </c:pt>
                  <c:pt idx="97">
                    <c:v>Iogurte</c:v>
                  </c:pt>
                  <c:pt idx="101">
                    <c:v>Laranja</c:v>
                  </c:pt>
                  <c:pt idx="103">
                    <c:v>Leite</c:v>
                  </c:pt>
                  <c:pt idx="109">
                    <c:v>Leite condensado</c:v>
                  </c:pt>
                  <c:pt idx="111">
                    <c:v>Lentilha</c:v>
                  </c:pt>
                  <c:pt idx="113">
                    <c:v>Linguiça</c:v>
                  </c:pt>
                  <c:pt idx="115">
                    <c:v>Maçã</c:v>
                  </c:pt>
                  <c:pt idx="117">
                    <c:v>Macarrão</c:v>
                  </c:pt>
                  <c:pt idx="119">
                    <c:v>Maionese</c:v>
                  </c:pt>
                  <c:pt idx="121">
                    <c:v>Mamão</c:v>
                  </c:pt>
                  <c:pt idx="123">
                    <c:v>Molho de pimenta</c:v>
                  </c:pt>
                  <c:pt idx="125">
                    <c:v>Molho inglês</c:v>
                  </c:pt>
                  <c:pt idx="127">
                    <c:v>Mostarda</c:v>
                  </c:pt>
                  <c:pt idx="133">
                    <c:v>Papel higiênico</c:v>
                  </c:pt>
                  <c:pt idx="135">
                    <c:v>Pastel</c:v>
                  </c:pt>
                  <c:pt idx="139">
                    <c:v>Pastilha</c:v>
                  </c:pt>
                  <c:pt idx="143">
                    <c:v>Peixe</c:v>
                  </c:pt>
                  <c:pt idx="145">
                    <c:v>Pimenta</c:v>
                  </c:pt>
                  <c:pt idx="147">
                    <c:v>Pizza congelada</c:v>
                  </c:pt>
                  <c:pt idx="149">
                    <c:v>Polpa de fruta</c:v>
                  </c:pt>
                  <c:pt idx="151">
                    <c:v>Presunto</c:v>
                  </c:pt>
                  <c:pt idx="153">
                    <c:v>Pudim</c:v>
                  </c:pt>
                  <c:pt idx="155">
                    <c:v>Queijo</c:v>
                  </c:pt>
                  <c:pt idx="157">
                    <c:v>Refrigerante</c:v>
                  </c:pt>
                  <c:pt idx="159">
                    <c:v>Repolho</c:v>
                  </c:pt>
                  <c:pt idx="161">
                    <c:v>Sabão em pó</c:v>
                  </c:pt>
                  <c:pt idx="163">
                    <c:v>Sabonete</c:v>
                  </c:pt>
                  <c:pt idx="165">
                    <c:v>Salsicha</c:v>
                  </c:pt>
                  <c:pt idx="169">
                    <c:v>Sardinha</c:v>
                  </c:pt>
                  <c:pt idx="171">
                    <c:v>Shoyu</c:v>
                  </c:pt>
                  <c:pt idx="177">
                    <c:v>Sorvete</c:v>
                  </c:pt>
                  <c:pt idx="181">
                    <c:v>Suco</c:v>
                  </c:pt>
                  <c:pt idx="183">
                    <c:v>Tomate</c:v>
                  </c:pt>
                  <c:pt idx="187">
                    <c:v>Uva</c:v>
                  </c:pt>
                  <c:pt idx="191">
                    <c:v>Whisky</c:v>
                  </c:pt>
                </c:lvl>
              </c:multiLvlStrCache>
            </c:multiLvlStrRef>
          </c:cat>
          <c:val>
            <c:numRef>
              <c:f>'Td7'!$B$4:$B$262</c:f>
              <c:numCache>
                <c:formatCode>General</c:formatCode>
                <c:ptCount val="193"/>
                <c:pt idx="0">
                  <c:v>43</c:v>
                </c:pt>
                <c:pt idx="1">
                  <c:v>12</c:v>
                </c:pt>
                <c:pt idx="2">
                  <c:v>21</c:v>
                </c:pt>
                <c:pt idx="3">
                  <c:v>233</c:v>
                </c:pt>
                <c:pt idx="4">
                  <c:v>43</c:v>
                </c:pt>
                <c:pt idx="5">
                  <c:v>32</c:v>
                </c:pt>
                <c:pt idx="6">
                  <c:v>23</c:v>
                </c:pt>
                <c:pt idx="7">
                  <c:v>32</c:v>
                </c:pt>
                <c:pt idx="8">
                  <c:v>33</c:v>
                </c:pt>
                <c:pt idx="9">
                  <c:v>23</c:v>
                </c:pt>
                <c:pt idx="10">
                  <c:v>56</c:v>
                </c:pt>
                <c:pt idx="11">
                  <c:v>23</c:v>
                </c:pt>
                <c:pt idx="12">
                  <c:v>432</c:v>
                </c:pt>
                <c:pt idx="13">
                  <c:v>33</c:v>
                </c:pt>
                <c:pt idx="14">
                  <c:v>12</c:v>
                </c:pt>
                <c:pt idx="15">
                  <c:v>54</c:v>
                </c:pt>
                <c:pt idx="16">
                  <c:v>232</c:v>
                </c:pt>
                <c:pt idx="17">
                  <c:v>431</c:v>
                </c:pt>
                <c:pt idx="18">
                  <c:v>12</c:v>
                </c:pt>
                <c:pt idx="19">
                  <c:v>54</c:v>
                </c:pt>
                <c:pt idx="20">
                  <c:v>21</c:v>
                </c:pt>
                <c:pt idx="21">
                  <c:v>43</c:v>
                </c:pt>
                <c:pt idx="22">
                  <c:v>65</c:v>
                </c:pt>
                <c:pt idx="23">
                  <c:v>43</c:v>
                </c:pt>
                <c:pt idx="24">
                  <c:v>12</c:v>
                </c:pt>
                <c:pt idx="25">
                  <c:v>432</c:v>
                </c:pt>
                <c:pt idx="26">
                  <c:v>8</c:v>
                </c:pt>
                <c:pt idx="27">
                  <c:v>22</c:v>
                </c:pt>
                <c:pt idx="28">
                  <c:v>33</c:v>
                </c:pt>
                <c:pt idx="29">
                  <c:v>43</c:v>
                </c:pt>
                <c:pt idx="30">
                  <c:v>22</c:v>
                </c:pt>
                <c:pt idx="31">
                  <c:v>6</c:v>
                </c:pt>
                <c:pt idx="32">
                  <c:v>32</c:v>
                </c:pt>
                <c:pt idx="33">
                  <c:v>22</c:v>
                </c:pt>
                <c:pt idx="34">
                  <c:v>32</c:v>
                </c:pt>
                <c:pt idx="35">
                  <c:v>223</c:v>
                </c:pt>
                <c:pt idx="36">
                  <c:v>23</c:v>
                </c:pt>
                <c:pt idx="37">
                  <c:v>32</c:v>
                </c:pt>
                <c:pt idx="38">
                  <c:v>43</c:v>
                </c:pt>
                <c:pt idx="39">
                  <c:v>23</c:v>
                </c:pt>
                <c:pt idx="40">
                  <c:v>12</c:v>
                </c:pt>
                <c:pt idx="41">
                  <c:v>53</c:v>
                </c:pt>
                <c:pt idx="42">
                  <c:v>332</c:v>
                </c:pt>
                <c:pt idx="43">
                  <c:v>22</c:v>
                </c:pt>
                <c:pt idx="44">
                  <c:v>35</c:v>
                </c:pt>
                <c:pt idx="45">
                  <c:v>32</c:v>
                </c:pt>
                <c:pt idx="46">
                  <c:v>12</c:v>
                </c:pt>
                <c:pt idx="47">
                  <c:v>22</c:v>
                </c:pt>
                <c:pt idx="48">
                  <c:v>22</c:v>
                </c:pt>
                <c:pt idx="49">
                  <c:v>34</c:v>
                </c:pt>
                <c:pt idx="50">
                  <c:v>42</c:v>
                </c:pt>
                <c:pt idx="51">
                  <c:v>23</c:v>
                </c:pt>
                <c:pt idx="52">
                  <c:v>421</c:v>
                </c:pt>
                <c:pt idx="53">
                  <c:v>12</c:v>
                </c:pt>
                <c:pt idx="54">
                  <c:v>12</c:v>
                </c:pt>
                <c:pt idx="55">
                  <c:v>212</c:v>
                </c:pt>
                <c:pt idx="56">
                  <c:v>22</c:v>
                </c:pt>
                <c:pt idx="57">
                  <c:v>23</c:v>
                </c:pt>
                <c:pt idx="58">
                  <c:v>33</c:v>
                </c:pt>
                <c:pt idx="59">
                  <c:v>34</c:v>
                </c:pt>
                <c:pt idx="60">
                  <c:v>43</c:v>
                </c:pt>
                <c:pt idx="61">
                  <c:v>341</c:v>
                </c:pt>
                <c:pt idx="62">
                  <c:v>23</c:v>
                </c:pt>
                <c:pt idx="63">
                  <c:v>45</c:v>
                </c:pt>
                <c:pt idx="64">
                  <c:v>343</c:v>
                </c:pt>
                <c:pt idx="65">
                  <c:v>32</c:v>
                </c:pt>
                <c:pt idx="66">
                  <c:v>12</c:v>
                </c:pt>
                <c:pt idx="67">
                  <c:v>343</c:v>
                </c:pt>
                <c:pt idx="68">
                  <c:v>43</c:v>
                </c:pt>
                <c:pt idx="69">
                  <c:v>54</c:v>
                </c:pt>
                <c:pt idx="70">
                  <c:v>32</c:v>
                </c:pt>
                <c:pt idx="71">
                  <c:v>22</c:v>
                </c:pt>
                <c:pt idx="72">
                  <c:v>43</c:v>
                </c:pt>
                <c:pt idx="73">
                  <c:v>12</c:v>
                </c:pt>
                <c:pt idx="74">
                  <c:v>322</c:v>
                </c:pt>
                <c:pt idx="75">
                  <c:v>45</c:v>
                </c:pt>
                <c:pt idx="76">
                  <c:v>22</c:v>
                </c:pt>
                <c:pt idx="77">
                  <c:v>43</c:v>
                </c:pt>
                <c:pt idx="78">
                  <c:v>22</c:v>
                </c:pt>
                <c:pt idx="79">
                  <c:v>23</c:v>
                </c:pt>
                <c:pt idx="80">
                  <c:v>123</c:v>
                </c:pt>
                <c:pt idx="81">
                  <c:v>23</c:v>
                </c:pt>
                <c:pt idx="82">
                  <c:v>22</c:v>
                </c:pt>
                <c:pt idx="83">
                  <c:v>32</c:v>
                </c:pt>
                <c:pt idx="84">
                  <c:v>233</c:v>
                </c:pt>
                <c:pt idx="85">
                  <c:v>22</c:v>
                </c:pt>
                <c:pt idx="86">
                  <c:v>432</c:v>
                </c:pt>
                <c:pt idx="87">
                  <c:v>34</c:v>
                </c:pt>
                <c:pt idx="88">
                  <c:v>87</c:v>
                </c:pt>
                <c:pt idx="89">
                  <c:v>343</c:v>
                </c:pt>
                <c:pt idx="90">
                  <c:v>12</c:v>
                </c:pt>
                <c:pt idx="91">
                  <c:v>32</c:v>
                </c:pt>
                <c:pt idx="92">
                  <c:v>123</c:v>
                </c:pt>
                <c:pt idx="93">
                  <c:v>32</c:v>
                </c:pt>
                <c:pt idx="94">
                  <c:v>23</c:v>
                </c:pt>
                <c:pt idx="95">
                  <c:v>424</c:v>
                </c:pt>
                <c:pt idx="96">
                  <c:v>34</c:v>
                </c:pt>
                <c:pt idx="97">
                  <c:v>34</c:v>
                </c:pt>
                <c:pt idx="98">
                  <c:v>24</c:v>
                </c:pt>
                <c:pt idx="99">
                  <c:v>22</c:v>
                </c:pt>
                <c:pt idx="100">
                  <c:v>22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32</c:v>
                </c:pt>
                <c:pt idx="105">
                  <c:v>12</c:v>
                </c:pt>
                <c:pt idx="106">
                  <c:v>23</c:v>
                </c:pt>
                <c:pt idx="107">
                  <c:v>25</c:v>
                </c:pt>
                <c:pt idx="108">
                  <c:v>64</c:v>
                </c:pt>
                <c:pt idx="109">
                  <c:v>3</c:v>
                </c:pt>
                <c:pt idx="110">
                  <c:v>32</c:v>
                </c:pt>
                <c:pt idx="111">
                  <c:v>412</c:v>
                </c:pt>
                <c:pt idx="112">
                  <c:v>77</c:v>
                </c:pt>
                <c:pt idx="113">
                  <c:v>43</c:v>
                </c:pt>
                <c:pt idx="114">
                  <c:v>233</c:v>
                </c:pt>
                <c:pt idx="115">
                  <c:v>12</c:v>
                </c:pt>
                <c:pt idx="116">
                  <c:v>42</c:v>
                </c:pt>
                <c:pt idx="117">
                  <c:v>23</c:v>
                </c:pt>
                <c:pt idx="118">
                  <c:v>22</c:v>
                </c:pt>
                <c:pt idx="119">
                  <c:v>76</c:v>
                </c:pt>
                <c:pt idx="120">
                  <c:v>123</c:v>
                </c:pt>
                <c:pt idx="121">
                  <c:v>43</c:v>
                </c:pt>
                <c:pt idx="122">
                  <c:v>32</c:v>
                </c:pt>
                <c:pt idx="123">
                  <c:v>34</c:v>
                </c:pt>
                <c:pt idx="124">
                  <c:v>23</c:v>
                </c:pt>
                <c:pt idx="125">
                  <c:v>342</c:v>
                </c:pt>
                <c:pt idx="126">
                  <c:v>43</c:v>
                </c:pt>
                <c:pt idx="127">
                  <c:v>12</c:v>
                </c:pt>
                <c:pt idx="128">
                  <c:v>232</c:v>
                </c:pt>
                <c:pt idx="129">
                  <c:v>32</c:v>
                </c:pt>
                <c:pt idx="130">
                  <c:v>22</c:v>
                </c:pt>
                <c:pt idx="131">
                  <c:v>6</c:v>
                </c:pt>
                <c:pt idx="132">
                  <c:v>22</c:v>
                </c:pt>
                <c:pt idx="133">
                  <c:v>11</c:v>
                </c:pt>
                <c:pt idx="134">
                  <c:v>53</c:v>
                </c:pt>
                <c:pt idx="135">
                  <c:v>22</c:v>
                </c:pt>
                <c:pt idx="136">
                  <c:v>43</c:v>
                </c:pt>
                <c:pt idx="137">
                  <c:v>121</c:v>
                </c:pt>
                <c:pt idx="138">
                  <c:v>32</c:v>
                </c:pt>
                <c:pt idx="139">
                  <c:v>46</c:v>
                </c:pt>
                <c:pt idx="140">
                  <c:v>22</c:v>
                </c:pt>
                <c:pt idx="141">
                  <c:v>75</c:v>
                </c:pt>
                <c:pt idx="142">
                  <c:v>464</c:v>
                </c:pt>
                <c:pt idx="143">
                  <c:v>3</c:v>
                </c:pt>
                <c:pt idx="144">
                  <c:v>32</c:v>
                </c:pt>
                <c:pt idx="145">
                  <c:v>43</c:v>
                </c:pt>
                <c:pt idx="146">
                  <c:v>22</c:v>
                </c:pt>
                <c:pt idx="147">
                  <c:v>123</c:v>
                </c:pt>
                <c:pt idx="148">
                  <c:v>43</c:v>
                </c:pt>
                <c:pt idx="149">
                  <c:v>323</c:v>
                </c:pt>
                <c:pt idx="150">
                  <c:v>22</c:v>
                </c:pt>
                <c:pt idx="151">
                  <c:v>54</c:v>
                </c:pt>
                <c:pt idx="152">
                  <c:v>23</c:v>
                </c:pt>
                <c:pt idx="153">
                  <c:v>8</c:v>
                </c:pt>
                <c:pt idx="154">
                  <c:v>341</c:v>
                </c:pt>
                <c:pt idx="155">
                  <c:v>23</c:v>
                </c:pt>
                <c:pt idx="156">
                  <c:v>12</c:v>
                </c:pt>
                <c:pt idx="157">
                  <c:v>32</c:v>
                </c:pt>
                <c:pt idx="158">
                  <c:v>12</c:v>
                </c:pt>
                <c:pt idx="159">
                  <c:v>22</c:v>
                </c:pt>
                <c:pt idx="160">
                  <c:v>32</c:v>
                </c:pt>
                <c:pt idx="161">
                  <c:v>22</c:v>
                </c:pt>
                <c:pt idx="162">
                  <c:v>432</c:v>
                </c:pt>
                <c:pt idx="163">
                  <c:v>32</c:v>
                </c:pt>
                <c:pt idx="164">
                  <c:v>32</c:v>
                </c:pt>
                <c:pt idx="165">
                  <c:v>42</c:v>
                </c:pt>
                <c:pt idx="166">
                  <c:v>22</c:v>
                </c:pt>
                <c:pt idx="167">
                  <c:v>321</c:v>
                </c:pt>
                <c:pt idx="168">
                  <c:v>43</c:v>
                </c:pt>
                <c:pt idx="169">
                  <c:v>324</c:v>
                </c:pt>
                <c:pt idx="170">
                  <c:v>22</c:v>
                </c:pt>
                <c:pt idx="171">
                  <c:v>23</c:v>
                </c:pt>
                <c:pt idx="172">
                  <c:v>12</c:v>
                </c:pt>
                <c:pt idx="173">
                  <c:v>45</c:v>
                </c:pt>
                <c:pt idx="174">
                  <c:v>22</c:v>
                </c:pt>
                <c:pt idx="175">
                  <c:v>43</c:v>
                </c:pt>
                <c:pt idx="176">
                  <c:v>32</c:v>
                </c:pt>
                <c:pt idx="177">
                  <c:v>223</c:v>
                </c:pt>
                <c:pt idx="178">
                  <c:v>43</c:v>
                </c:pt>
                <c:pt idx="179">
                  <c:v>43</c:v>
                </c:pt>
                <c:pt idx="180">
                  <c:v>234</c:v>
                </c:pt>
                <c:pt idx="181">
                  <c:v>32</c:v>
                </c:pt>
                <c:pt idx="182">
                  <c:v>23</c:v>
                </c:pt>
                <c:pt idx="183">
                  <c:v>12</c:v>
                </c:pt>
                <c:pt idx="184">
                  <c:v>84</c:v>
                </c:pt>
                <c:pt idx="185">
                  <c:v>22</c:v>
                </c:pt>
                <c:pt idx="186">
                  <c:v>11</c:v>
                </c:pt>
                <c:pt idx="187">
                  <c:v>12</c:v>
                </c:pt>
                <c:pt idx="188">
                  <c:v>32</c:v>
                </c:pt>
                <c:pt idx="189">
                  <c:v>43</c:v>
                </c:pt>
                <c:pt idx="190">
                  <c:v>12</c:v>
                </c:pt>
                <c:pt idx="191">
                  <c:v>212</c:v>
                </c:pt>
                <c:pt idx="19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7-42F0-AE21-0C2E995B7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860607"/>
        <c:axId val="1162626463"/>
      </c:barChart>
      <c:catAx>
        <c:axId val="113686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2626463"/>
        <c:crosses val="autoZero"/>
        <c:auto val="1"/>
        <c:lblAlgn val="ctr"/>
        <c:lblOffset val="100"/>
        <c:noMultiLvlLbl val="0"/>
      </c:catAx>
      <c:valAx>
        <c:axId val="116262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86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.xlsm]Td8!Tabela dinâmica15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'Td8'!$B$3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'Td8'!$A$4:$A$76</c:f>
              <c:multiLvlStrCache>
                <c:ptCount val="68"/>
                <c:lvl>
                  <c:pt idx="0">
                    <c:v>Açúcar</c:v>
                  </c:pt>
                  <c:pt idx="1">
                    <c:v>Alface</c:v>
                  </c:pt>
                  <c:pt idx="2">
                    <c:v>Aveia</c:v>
                  </c:pt>
                  <c:pt idx="3">
                    <c:v>Banana</c:v>
                  </c:pt>
                  <c:pt idx="4">
                    <c:v>Batata</c:v>
                  </c:pt>
                  <c:pt idx="5">
                    <c:v>Batata frita congelada</c:v>
                  </c:pt>
                  <c:pt idx="6">
                    <c:v>Biscoito</c:v>
                  </c:pt>
                  <c:pt idx="7">
                    <c:v>Bolacha</c:v>
                  </c:pt>
                  <c:pt idx="8">
                    <c:v>Carne bovina</c:v>
                  </c:pt>
                  <c:pt idx="9">
                    <c:v>Cebola</c:v>
                  </c:pt>
                  <c:pt idx="10">
                    <c:v>Coxinha</c:v>
                  </c:pt>
                  <c:pt idx="11">
                    <c:v>Creme de leite</c:v>
                  </c:pt>
                  <c:pt idx="12">
                    <c:v>Ervilha</c:v>
                  </c:pt>
                  <c:pt idx="13">
                    <c:v>Esfiha</c:v>
                  </c:pt>
                  <c:pt idx="14">
                    <c:v>Farofa</c:v>
                  </c:pt>
                  <c:pt idx="15">
                    <c:v>Frango</c:v>
                  </c:pt>
                  <c:pt idx="16">
                    <c:v>Gelatina</c:v>
                  </c:pt>
                  <c:pt idx="17">
                    <c:v>Granola</c:v>
                  </c:pt>
                  <c:pt idx="18">
                    <c:v>Grão de bico</c:v>
                  </c:pt>
                  <c:pt idx="19">
                    <c:v>Laranja</c:v>
                  </c:pt>
                  <c:pt idx="20">
                    <c:v>Leite condensado</c:v>
                  </c:pt>
                  <c:pt idx="21">
                    <c:v>Lentilha</c:v>
                  </c:pt>
                  <c:pt idx="22">
                    <c:v>Linguiça</c:v>
                  </c:pt>
                  <c:pt idx="23">
                    <c:v>Maçã</c:v>
                  </c:pt>
                  <c:pt idx="24">
                    <c:v>Macarrão</c:v>
                  </c:pt>
                  <c:pt idx="25">
                    <c:v>Maionese</c:v>
                  </c:pt>
                  <c:pt idx="26">
                    <c:v>Mamão</c:v>
                  </c:pt>
                  <c:pt idx="27">
                    <c:v>Molho de pimenta</c:v>
                  </c:pt>
                  <c:pt idx="28">
                    <c:v>Molho inglês</c:v>
                  </c:pt>
                  <c:pt idx="29">
                    <c:v>Mostarda</c:v>
                  </c:pt>
                  <c:pt idx="30">
                    <c:v>Pastel</c:v>
                  </c:pt>
                  <c:pt idx="31">
                    <c:v>Peixe</c:v>
                  </c:pt>
                  <c:pt idx="32">
                    <c:v>Pimenta</c:v>
                  </c:pt>
                  <c:pt idx="33">
                    <c:v>Pizza congelada</c:v>
                  </c:pt>
                  <c:pt idx="34">
                    <c:v>Polpa de fruta</c:v>
                  </c:pt>
                  <c:pt idx="35">
                    <c:v>Presunto</c:v>
                  </c:pt>
                  <c:pt idx="36">
                    <c:v>Pudim</c:v>
                  </c:pt>
                  <c:pt idx="37">
                    <c:v>Queijo</c:v>
                  </c:pt>
                  <c:pt idx="38">
                    <c:v>Repolho</c:v>
                  </c:pt>
                  <c:pt idx="39">
                    <c:v>Salsicha</c:v>
                  </c:pt>
                  <c:pt idx="40">
                    <c:v>Sardinha</c:v>
                  </c:pt>
                  <c:pt idx="41">
                    <c:v>Shoyu</c:v>
                  </c:pt>
                  <c:pt idx="42">
                    <c:v>Sorvete</c:v>
                  </c:pt>
                  <c:pt idx="43">
                    <c:v>Tomate</c:v>
                  </c:pt>
                  <c:pt idx="44">
                    <c:v>Uva</c:v>
                  </c:pt>
                  <c:pt idx="45">
                    <c:v>Café</c:v>
                  </c:pt>
                  <c:pt idx="46">
                    <c:v>Chá</c:v>
                  </c:pt>
                  <c:pt idx="47">
                    <c:v>Iogurte</c:v>
                  </c:pt>
                  <c:pt idx="48">
                    <c:v>Leite</c:v>
                  </c:pt>
                  <c:pt idx="49">
                    <c:v>Peixe</c:v>
                  </c:pt>
                  <c:pt idx="50">
                    <c:v>Refrigerante</c:v>
                  </c:pt>
                  <c:pt idx="51">
                    <c:v>Salsicha</c:v>
                  </c:pt>
                  <c:pt idx="52">
                    <c:v>Suco</c:v>
                  </c:pt>
                  <c:pt idx="53">
                    <c:v>Whisky</c:v>
                  </c:pt>
                  <c:pt idx="54">
                    <c:v>Esponja</c:v>
                  </c:pt>
                  <c:pt idx="55">
                    <c:v>Álcool</c:v>
                  </c:pt>
                  <c:pt idx="56">
                    <c:v>Amaciante</c:v>
                  </c:pt>
                  <c:pt idx="57">
                    <c:v>Condicionador</c:v>
                  </c:pt>
                  <c:pt idx="58">
                    <c:v>Creme dental</c:v>
                  </c:pt>
                  <c:pt idx="59">
                    <c:v>Desinfetante</c:v>
                  </c:pt>
                  <c:pt idx="60">
                    <c:v>Detergente</c:v>
                  </c:pt>
                  <c:pt idx="61">
                    <c:v>Escova de dentes</c:v>
                  </c:pt>
                  <c:pt idx="62">
                    <c:v>Esponja</c:v>
                  </c:pt>
                  <c:pt idx="63">
                    <c:v>Fósforo</c:v>
                  </c:pt>
                  <c:pt idx="64">
                    <c:v>Papel higiênico</c:v>
                  </c:pt>
                  <c:pt idx="65">
                    <c:v>Pastilha</c:v>
                  </c:pt>
                  <c:pt idx="66">
                    <c:v>Sabão em pó</c:v>
                  </c:pt>
                  <c:pt idx="67">
                    <c:v>Sabonete</c:v>
                  </c:pt>
                </c:lvl>
                <c:lvl>
                  <c:pt idx="0">
                    <c:v>Alimento</c:v>
                  </c:pt>
                  <c:pt idx="45">
                    <c:v>Bebida</c:v>
                  </c:pt>
                  <c:pt idx="54">
                    <c:v>Congelado</c:v>
                  </c:pt>
                  <c:pt idx="55">
                    <c:v>Higiene</c:v>
                  </c:pt>
                </c:lvl>
              </c:multiLvlStrCache>
            </c:multiLvlStrRef>
          </c:cat>
          <c:val>
            <c:numRef>
              <c:f>'Td8'!$B$4:$B$76</c:f>
              <c:numCache>
                <c:formatCode>General</c:formatCode>
                <c:ptCount val="68"/>
                <c:pt idx="0">
                  <c:v>439</c:v>
                </c:pt>
                <c:pt idx="1">
                  <c:v>544</c:v>
                </c:pt>
                <c:pt idx="2">
                  <c:v>66</c:v>
                </c:pt>
                <c:pt idx="3">
                  <c:v>64</c:v>
                </c:pt>
                <c:pt idx="4">
                  <c:v>108</c:v>
                </c:pt>
                <c:pt idx="5">
                  <c:v>444</c:v>
                </c:pt>
                <c:pt idx="6">
                  <c:v>30</c:v>
                </c:pt>
                <c:pt idx="7">
                  <c:v>76</c:v>
                </c:pt>
                <c:pt idx="8">
                  <c:v>300</c:v>
                </c:pt>
                <c:pt idx="9">
                  <c:v>110</c:v>
                </c:pt>
                <c:pt idx="10">
                  <c:v>576</c:v>
                </c:pt>
                <c:pt idx="11">
                  <c:v>224</c:v>
                </c:pt>
                <c:pt idx="12">
                  <c:v>44</c:v>
                </c:pt>
                <c:pt idx="13">
                  <c:v>151</c:v>
                </c:pt>
                <c:pt idx="14">
                  <c:v>323</c:v>
                </c:pt>
                <c:pt idx="15">
                  <c:v>918</c:v>
                </c:pt>
                <c:pt idx="16">
                  <c:v>44</c:v>
                </c:pt>
                <c:pt idx="17">
                  <c:v>155</c:v>
                </c:pt>
                <c:pt idx="18">
                  <c:v>481</c:v>
                </c:pt>
                <c:pt idx="19">
                  <c:v>86</c:v>
                </c:pt>
                <c:pt idx="20">
                  <c:v>35</c:v>
                </c:pt>
                <c:pt idx="21">
                  <c:v>489</c:v>
                </c:pt>
                <c:pt idx="22">
                  <c:v>276</c:v>
                </c:pt>
                <c:pt idx="23">
                  <c:v>54</c:v>
                </c:pt>
                <c:pt idx="24">
                  <c:v>45</c:v>
                </c:pt>
                <c:pt idx="25">
                  <c:v>199</c:v>
                </c:pt>
                <c:pt idx="26">
                  <c:v>75</c:v>
                </c:pt>
                <c:pt idx="27">
                  <c:v>57</c:v>
                </c:pt>
                <c:pt idx="28">
                  <c:v>385</c:v>
                </c:pt>
                <c:pt idx="29">
                  <c:v>326</c:v>
                </c:pt>
                <c:pt idx="30">
                  <c:v>218</c:v>
                </c:pt>
                <c:pt idx="31">
                  <c:v>32</c:v>
                </c:pt>
                <c:pt idx="32">
                  <c:v>65</c:v>
                </c:pt>
                <c:pt idx="33">
                  <c:v>166</c:v>
                </c:pt>
                <c:pt idx="34">
                  <c:v>345</c:v>
                </c:pt>
                <c:pt idx="35">
                  <c:v>77</c:v>
                </c:pt>
                <c:pt idx="36">
                  <c:v>349</c:v>
                </c:pt>
                <c:pt idx="37">
                  <c:v>35</c:v>
                </c:pt>
                <c:pt idx="38">
                  <c:v>54</c:v>
                </c:pt>
                <c:pt idx="39">
                  <c:v>406</c:v>
                </c:pt>
                <c:pt idx="40">
                  <c:v>346</c:v>
                </c:pt>
                <c:pt idx="41">
                  <c:v>177</c:v>
                </c:pt>
                <c:pt idx="42">
                  <c:v>543</c:v>
                </c:pt>
                <c:pt idx="43">
                  <c:v>129</c:v>
                </c:pt>
                <c:pt idx="44">
                  <c:v>99</c:v>
                </c:pt>
                <c:pt idx="45">
                  <c:v>60</c:v>
                </c:pt>
                <c:pt idx="46">
                  <c:v>442</c:v>
                </c:pt>
                <c:pt idx="47">
                  <c:v>102</c:v>
                </c:pt>
                <c:pt idx="48">
                  <c:v>199</c:v>
                </c:pt>
                <c:pt idx="49">
                  <c:v>3</c:v>
                </c:pt>
                <c:pt idx="50">
                  <c:v>44</c:v>
                </c:pt>
                <c:pt idx="51">
                  <c:v>22</c:v>
                </c:pt>
                <c:pt idx="52">
                  <c:v>55</c:v>
                </c:pt>
                <c:pt idx="53">
                  <c:v>266</c:v>
                </c:pt>
                <c:pt idx="54">
                  <c:v>12</c:v>
                </c:pt>
                <c:pt idx="55">
                  <c:v>56</c:v>
                </c:pt>
                <c:pt idx="56">
                  <c:v>729</c:v>
                </c:pt>
                <c:pt idx="57">
                  <c:v>44</c:v>
                </c:pt>
                <c:pt idx="58">
                  <c:v>45</c:v>
                </c:pt>
                <c:pt idx="59">
                  <c:v>67</c:v>
                </c:pt>
                <c:pt idx="60">
                  <c:v>795</c:v>
                </c:pt>
                <c:pt idx="61">
                  <c:v>386</c:v>
                </c:pt>
                <c:pt idx="62">
                  <c:v>322</c:v>
                </c:pt>
                <c:pt idx="63">
                  <c:v>265</c:v>
                </c:pt>
                <c:pt idx="64">
                  <c:v>64</c:v>
                </c:pt>
                <c:pt idx="65">
                  <c:v>607</c:v>
                </c:pt>
                <c:pt idx="66">
                  <c:v>454</c:v>
                </c:pt>
                <c:pt idx="67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9-4AE6-8D0C-FD502483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3841887"/>
        <c:axId val="1273838047"/>
      </c:barChart>
      <c:catAx>
        <c:axId val="127384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838047"/>
        <c:crosses val="autoZero"/>
        <c:auto val="1"/>
        <c:lblAlgn val="ctr"/>
        <c:lblOffset val="100"/>
        <c:noMultiLvlLbl val="0"/>
      </c:catAx>
      <c:valAx>
        <c:axId val="127383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84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.xlsm]Td9!Tabela dinâmica16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180568905158908E-2"/>
          <c:y val="5.3280477559236969E-2"/>
          <c:w val="0.94177894198344192"/>
          <c:h val="0.84880246076743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'Td9'!$B$3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'Td9'!$A$4:$A$137</c:f>
              <c:multiLvlStrCache>
                <c:ptCount val="68"/>
                <c:lvl>
                  <c:pt idx="0">
                    <c:v>Alimento</c:v>
                  </c:pt>
                  <c:pt idx="1">
                    <c:v>Higiene</c:v>
                  </c:pt>
                  <c:pt idx="2">
                    <c:v>Alimento</c:v>
                  </c:pt>
                  <c:pt idx="3">
                    <c:v>Higiene</c:v>
                  </c:pt>
                  <c:pt idx="4">
                    <c:v>Alimento</c:v>
                  </c:pt>
                  <c:pt idx="5">
                    <c:v>Alimento</c:v>
                  </c:pt>
                  <c:pt idx="6">
                    <c:v>Alimento</c:v>
                  </c:pt>
                  <c:pt idx="7">
                    <c:v>Alimento</c:v>
                  </c:pt>
                  <c:pt idx="8">
                    <c:v>Alimento</c:v>
                  </c:pt>
                  <c:pt idx="9">
                    <c:v>Alimento</c:v>
                  </c:pt>
                  <c:pt idx="10">
                    <c:v>Bebida</c:v>
                  </c:pt>
                  <c:pt idx="11">
                    <c:v>Alimento</c:v>
                  </c:pt>
                  <c:pt idx="12">
                    <c:v>Alimento</c:v>
                  </c:pt>
                  <c:pt idx="13">
                    <c:v>Bebida</c:v>
                  </c:pt>
                  <c:pt idx="14">
                    <c:v>Higiene</c:v>
                  </c:pt>
                  <c:pt idx="15">
                    <c:v>Alimento</c:v>
                  </c:pt>
                  <c:pt idx="16">
                    <c:v>Alimento</c:v>
                  </c:pt>
                  <c:pt idx="17">
                    <c:v>Higiene</c:v>
                  </c:pt>
                  <c:pt idx="18">
                    <c:v>Higiene</c:v>
                  </c:pt>
                  <c:pt idx="19">
                    <c:v>Higiene</c:v>
                  </c:pt>
                  <c:pt idx="20">
                    <c:v>Alimento</c:v>
                  </c:pt>
                  <c:pt idx="21">
                    <c:v>Higiene</c:v>
                  </c:pt>
                  <c:pt idx="22">
                    <c:v>Alimento</c:v>
                  </c:pt>
                  <c:pt idx="23">
                    <c:v>Congelado</c:v>
                  </c:pt>
                  <c:pt idx="24">
                    <c:v>Higiene</c:v>
                  </c:pt>
                  <c:pt idx="25">
                    <c:v>Alimento</c:v>
                  </c:pt>
                  <c:pt idx="26">
                    <c:v>Higiene</c:v>
                  </c:pt>
                  <c:pt idx="27">
                    <c:v>Alimento</c:v>
                  </c:pt>
                  <c:pt idx="28">
                    <c:v>Alimento</c:v>
                  </c:pt>
                  <c:pt idx="29">
                    <c:v>Alimento</c:v>
                  </c:pt>
                  <c:pt idx="30">
                    <c:v>Alimento</c:v>
                  </c:pt>
                  <c:pt idx="31">
                    <c:v>Bebida</c:v>
                  </c:pt>
                  <c:pt idx="32">
                    <c:v>Alimento</c:v>
                  </c:pt>
                  <c:pt idx="33">
                    <c:v>Bebida</c:v>
                  </c:pt>
                  <c:pt idx="34">
                    <c:v>Alimento</c:v>
                  </c:pt>
                  <c:pt idx="35">
                    <c:v>Alimento</c:v>
                  </c:pt>
                  <c:pt idx="36">
                    <c:v>Alimento</c:v>
                  </c:pt>
                  <c:pt idx="37">
                    <c:v>Alimento</c:v>
                  </c:pt>
                  <c:pt idx="38">
                    <c:v>Alimento</c:v>
                  </c:pt>
                  <c:pt idx="39">
                    <c:v>Alimento</c:v>
                  </c:pt>
                  <c:pt idx="40">
                    <c:v>Alimento</c:v>
                  </c:pt>
                  <c:pt idx="41">
                    <c:v>Alimento</c:v>
                  </c:pt>
                  <c:pt idx="42">
                    <c:v>Alimento</c:v>
                  </c:pt>
                  <c:pt idx="43">
                    <c:v>Alimento</c:v>
                  </c:pt>
                  <c:pt idx="44">
                    <c:v>Higiene</c:v>
                  </c:pt>
                  <c:pt idx="45">
                    <c:v>Alimento</c:v>
                  </c:pt>
                  <c:pt idx="46">
                    <c:v>Higiene</c:v>
                  </c:pt>
                  <c:pt idx="47">
                    <c:v>Alimento</c:v>
                  </c:pt>
                  <c:pt idx="48">
                    <c:v>Bebida</c:v>
                  </c:pt>
                  <c:pt idx="49">
                    <c:v>Alimento</c:v>
                  </c:pt>
                  <c:pt idx="50">
                    <c:v>Alimento</c:v>
                  </c:pt>
                  <c:pt idx="51">
                    <c:v>Alimento</c:v>
                  </c:pt>
                  <c:pt idx="52">
                    <c:v>Alimento</c:v>
                  </c:pt>
                  <c:pt idx="53">
                    <c:v>Alimento</c:v>
                  </c:pt>
                  <c:pt idx="54">
                    <c:v>Alimento</c:v>
                  </c:pt>
                  <c:pt idx="55">
                    <c:v>Bebida</c:v>
                  </c:pt>
                  <c:pt idx="56">
                    <c:v>Alimento</c:v>
                  </c:pt>
                  <c:pt idx="57">
                    <c:v>Higiene</c:v>
                  </c:pt>
                  <c:pt idx="58">
                    <c:v>Higiene</c:v>
                  </c:pt>
                  <c:pt idx="59">
                    <c:v>Alimento</c:v>
                  </c:pt>
                  <c:pt idx="60">
                    <c:v>Bebida</c:v>
                  </c:pt>
                  <c:pt idx="61">
                    <c:v>Alimento</c:v>
                  </c:pt>
                  <c:pt idx="62">
                    <c:v>Alimento</c:v>
                  </c:pt>
                  <c:pt idx="63">
                    <c:v>Alimento</c:v>
                  </c:pt>
                  <c:pt idx="64">
                    <c:v>Bebida</c:v>
                  </c:pt>
                  <c:pt idx="65">
                    <c:v>Alimento</c:v>
                  </c:pt>
                  <c:pt idx="66">
                    <c:v>Alimento</c:v>
                  </c:pt>
                  <c:pt idx="67">
                    <c:v>Bebida</c:v>
                  </c:pt>
                </c:lvl>
                <c:lvl>
                  <c:pt idx="0">
                    <c:v>Açúcar</c:v>
                  </c:pt>
                  <c:pt idx="1">
                    <c:v>Álcool</c:v>
                  </c:pt>
                  <c:pt idx="2">
                    <c:v>Alface</c:v>
                  </c:pt>
                  <c:pt idx="3">
                    <c:v>Amaciante</c:v>
                  </c:pt>
                  <c:pt idx="4">
                    <c:v>Aveia</c:v>
                  </c:pt>
                  <c:pt idx="5">
                    <c:v>Banana</c:v>
                  </c:pt>
                  <c:pt idx="6">
                    <c:v>Batata</c:v>
                  </c:pt>
                  <c:pt idx="7">
                    <c:v>Batata frita congelada</c:v>
                  </c:pt>
                  <c:pt idx="8">
                    <c:v>Biscoito</c:v>
                  </c:pt>
                  <c:pt idx="9">
                    <c:v>Bolacha</c:v>
                  </c:pt>
                  <c:pt idx="10">
                    <c:v>Café</c:v>
                  </c:pt>
                  <c:pt idx="11">
                    <c:v>Carne bovina</c:v>
                  </c:pt>
                  <c:pt idx="12">
                    <c:v>Cebola</c:v>
                  </c:pt>
                  <c:pt idx="13">
                    <c:v>Chá</c:v>
                  </c:pt>
                  <c:pt idx="14">
                    <c:v>Condicionador</c:v>
                  </c:pt>
                  <c:pt idx="15">
                    <c:v>Coxinha</c:v>
                  </c:pt>
                  <c:pt idx="16">
                    <c:v>Creme de leite</c:v>
                  </c:pt>
                  <c:pt idx="17">
                    <c:v>Creme dental</c:v>
                  </c:pt>
                  <c:pt idx="18">
                    <c:v>Desinfetante</c:v>
                  </c:pt>
                  <c:pt idx="19">
                    <c:v>Detergente</c:v>
                  </c:pt>
                  <c:pt idx="20">
                    <c:v>Ervilha</c:v>
                  </c:pt>
                  <c:pt idx="21">
                    <c:v>Escova de dentes</c:v>
                  </c:pt>
                  <c:pt idx="22">
                    <c:v>Esfiha</c:v>
                  </c:pt>
                  <c:pt idx="23">
                    <c:v>Esponja</c:v>
                  </c:pt>
                  <c:pt idx="25">
                    <c:v>Farofa</c:v>
                  </c:pt>
                  <c:pt idx="26">
                    <c:v>Fósforo</c:v>
                  </c:pt>
                  <c:pt idx="27">
                    <c:v>Frango</c:v>
                  </c:pt>
                  <c:pt idx="28">
                    <c:v>Gelatina</c:v>
                  </c:pt>
                  <c:pt idx="29">
                    <c:v>Granola</c:v>
                  </c:pt>
                  <c:pt idx="30">
                    <c:v>Grão de bico</c:v>
                  </c:pt>
                  <c:pt idx="31">
                    <c:v>Iogurte</c:v>
                  </c:pt>
                  <c:pt idx="32">
                    <c:v>Laranja</c:v>
                  </c:pt>
                  <c:pt idx="33">
                    <c:v>Leite</c:v>
                  </c:pt>
                  <c:pt idx="34">
                    <c:v>Leite condensado</c:v>
                  </c:pt>
                  <c:pt idx="35">
                    <c:v>Lentilha</c:v>
                  </c:pt>
                  <c:pt idx="36">
                    <c:v>Linguiça</c:v>
                  </c:pt>
                  <c:pt idx="37">
                    <c:v>Maçã</c:v>
                  </c:pt>
                  <c:pt idx="38">
                    <c:v>Macarrão</c:v>
                  </c:pt>
                  <c:pt idx="39">
                    <c:v>Maionese</c:v>
                  </c:pt>
                  <c:pt idx="40">
                    <c:v>Mamão</c:v>
                  </c:pt>
                  <c:pt idx="41">
                    <c:v>Molho de pimenta</c:v>
                  </c:pt>
                  <c:pt idx="42">
                    <c:v>Molho inglês</c:v>
                  </c:pt>
                  <c:pt idx="43">
                    <c:v>Mostarda</c:v>
                  </c:pt>
                  <c:pt idx="44">
                    <c:v>Papel higiênico</c:v>
                  </c:pt>
                  <c:pt idx="45">
                    <c:v>Pastel</c:v>
                  </c:pt>
                  <c:pt idx="46">
                    <c:v>Pastilha</c:v>
                  </c:pt>
                  <c:pt idx="47">
                    <c:v>Peixe</c:v>
                  </c:pt>
                  <c:pt idx="49">
                    <c:v>Pimenta</c:v>
                  </c:pt>
                  <c:pt idx="50">
                    <c:v>Pizza congelada</c:v>
                  </c:pt>
                  <c:pt idx="51">
                    <c:v>Polpa de fruta</c:v>
                  </c:pt>
                  <c:pt idx="52">
                    <c:v>Presunto</c:v>
                  </c:pt>
                  <c:pt idx="53">
                    <c:v>Pudim</c:v>
                  </c:pt>
                  <c:pt idx="54">
                    <c:v>Queijo</c:v>
                  </c:pt>
                  <c:pt idx="55">
                    <c:v>Refrigerante</c:v>
                  </c:pt>
                  <c:pt idx="56">
                    <c:v>Repolho</c:v>
                  </c:pt>
                  <c:pt idx="57">
                    <c:v>Sabão em pó</c:v>
                  </c:pt>
                  <c:pt idx="58">
                    <c:v>Sabonete</c:v>
                  </c:pt>
                  <c:pt idx="59">
                    <c:v>Salsicha</c:v>
                  </c:pt>
                  <c:pt idx="61">
                    <c:v>Sardinha</c:v>
                  </c:pt>
                  <c:pt idx="62">
                    <c:v>Shoyu</c:v>
                  </c:pt>
                  <c:pt idx="63">
                    <c:v>Sorvete</c:v>
                  </c:pt>
                  <c:pt idx="64">
                    <c:v>Suco</c:v>
                  </c:pt>
                  <c:pt idx="65">
                    <c:v>Tomate</c:v>
                  </c:pt>
                  <c:pt idx="66">
                    <c:v>Uva</c:v>
                  </c:pt>
                  <c:pt idx="67">
                    <c:v>Whisky</c:v>
                  </c:pt>
                </c:lvl>
              </c:multiLvlStrCache>
            </c:multiLvlStrRef>
          </c:cat>
          <c:val>
            <c:numRef>
              <c:f>'Td9'!$B$4:$B$137</c:f>
              <c:numCache>
                <c:formatCode>General</c:formatCode>
                <c:ptCount val="68"/>
                <c:pt idx="0">
                  <c:v>439</c:v>
                </c:pt>
                <c:pt idx="1">
                  <c:v>56</c:v>
                </c:pt>
                <c:pt idx="2">
                  <c:v>544</c:v>
                </c:pt>
                <c:pt idx="3">
                  <c:v>729</c:v>
                </c:pt>
                <c:pt idx="4">
                  <c:v>66</c:v>
                </c:pt>
                <c:pt idx="5">
                  <c:v>64</c:v>
                </c:pt>
                <c:pt idx="6">
                  <c:v>108</c:v>
                </c:pt>
                <c:pt idx="7">
                  <c:v>444</c:v>
                </c:pt>
                <c:pt idx="8">
                  <c:v>30</c:v>
                </c:pt>
                <c:pt idx="9">
                  <c:v>76</c:v>
                </c:pt>
                <c:pt idx="10">
                  <c:v>60</c:v>
                </c:pt>
                <c:pt idx="11">
                  <c:v>300</c:v>
                </c:pt>
                <c:pt idx="12">
                  <c:v>110</c:v>
                </c:pt>
                <c:pt idx="13">
                  <c:v>442</c:v>
                </c:pt>
                <c:pt idx="14">
                  <c:v>44</c:v>
                </c:pt>
                <c:pt idx="15">
                  <c:v>576</c:v>
                </c:pt>
                <c:pt idx="16">
                  <c:v>224</c:v>
                </c:pt>
                <c:pt idx="17">
                  <c:v>45</c:v>
                </c:pt>
                <c:pt idx="18">
                  <c:v>67</c:v>
                </c:pt>
                <c:pt idx="19">
                  <c:v>795</c:v>
                </c:pt>
                <c:pt idx="20">
                  <c:v>44</c:v>
                </c:pt>
                <c:pt idx="21">
                  <c:v>386</c:v>
                </c:pt>
                <c:pt idx="22">
                  <c:v>151</c:v>
                </c:pt>
                <c:pt idx="23">
                  <c:v>12</c:v>
                </c:pt>
                <c:pt idx="24">
                  <c:v>322</c:v>
                </c:pt>
                <c:pt idx="25">
                  <c:v>323</c:v>
                </c:pt>
                <c:pt idx="26">
                  <c:v>265</c:v>
                </c:pt>
                <c:pt idx="27">
                  <c:v>918</c:v>
                </c:pt>
                <c:pt idx="28">
                  <c:v>44</c:v>
                </c:pt>
                <c:pt idx="29">
                  <c:v>155</c:v>
                </c:pt>
                <c:pt idx="30">
                  <c:v>481</c:v>
                </c:pt>
                <c:pt idx="31">
                  <c:v>102</c:v>
                </c:pt>
                <c:pt idx="32">
                  <c:v>86</c:v>
                </c:pt>
                <c:pt idx="33">
                  <c:v>199</c:v>
                </c:pt>
                <c:pt idx="34">
                  <c:v>35</c:v>
                </c:pt>
                <c:pt idx="35">
                  <c:v>489</c:v>
                </c:pt>
                <c:pt idx="36">
                  <c:v>276</c:v>
                </c:pt>
                <c:pt idx="37">
                  <c:v>54</c:v>
                </c:pt>
                <c:pt idx="38">
                  <c:v>45</c:v>
                </c:pt>
                <c:pt idx="39">
                  <c:v>199</c:v>
                </c:pt>
                <c:pt idx="40">
                  <c:v>75</c:v>
                </c:pt>
                <c:pt idx="41">
                  <c:v>57</c:v>
                </c:pt>
                <c:pt idx="42">
                  <c:v>385</c:v>
                </c:pt>
                <c:pt idx="43">
                  <c:v>326</c:v>
                </c:pt>
                <c:pt idx="44">
                  <c:v>64</c:v>
                </c:pt>
                <c:pt idx="45">
                  <c:v>218</c:v>
                </c:pt>
                <c:pt idx="46">
                  <c:v>607</c:v>
                </c:pt>
                <c:pt idx="47">
                  <c:v>32</c:v>
                </c:pt>
                <c:pt idx="48">
                  <c:v>3</c:v>
                </c:pt>
                <c:pt idx="49">
                  <c:v>65</c:v>
                </c:pt>
                <c:pt idx="50">
                  <c:v>166</c:v>
                </c:pt>
                <c:pt idx="51">
                  <c:v>345</c:v>
                </c:pt>
                <c:pt idx="52">
                  <c:v>77</c:v>
                </c:pt>
                <c:pt idx="53">
                  <c:v>349</c:v>
                </c:pt>
                <c:pt idx="54">
                  <c:v>35</c:v>
                </c:pt>
                <c:pt idx="55">
                  <c:v>44</c:v>
                </c:pt>
                <c:pt idx="56">
                  <c:v>54</c:v>
                </c:pt>
                <c:pt idx="57">
                  <c:v>454</c:v>
                </c:pt>
                <c:pt idx="58">
                  <c:v>64</c:v>
                </c:pt>
                <c:pt idx="59">
                  <c:v>406</c:v>
                </c:pt>
                <c:pt idx="60">
                  <c:v>22</c:v>
                </c:pt>
                <c:pt idx="61">
                  <c:v>346</c:v>
                </c:pt>
                <c:pt idx="62">
                  <c:v>177</c:v>
                </c:pt>
                <c:pt idx="63">
                  <c:v>543</c:v>
                </c:pt>
                <c:pt idx="64">
                  <c:v>55</c:v>
                </c:pt>
                <c:pt idx="65">
                  <c:v>129</c:v>
                </c:pt>
                <c:pt idx="66">
                  <c:v>99</c:v>
                </c:pt>
                <c:pt idx="67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E-4722-9CDA-D566CBA49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1649855"/>
        <c:axId val="1221650815"/>
      </c:barChart>
      <c:catAx>
        <c:axId val="122164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1650815"/>
        <c:crosses val="autoZero"/>
        <c:auto val="1"/>
        <c:lblAlgn val="ctr"/>
        <c:lblOffset val="100"/>
        <c:noMultiLvlLbl val="0"/>
      </c:catAx>
      <c:valAx>
        <c:axId val="122165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1649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.xlsm]Td10!Tabela dinâmica17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'Td10'!$B$3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'Td10'!$A$4:$A$205</c:f>
              <c:multiLvlStrCache>
                <c:ptCount val="134"/>
                <c:lvl>
                  <c:pt idx="0">
                    <c:v>2025</c:v>
                  </c:pt>
                  <c:pt idx="1">
                    <c:v>2026</c:v>
                  </c:pt>
                  <c:pt idx="2">
                    <c:v>2025</c:v>
                  </c:pt>
                  <c:pt idx="3">
                    <c:v>2026</c:v>
                  </c:pt>
                  <c:pt idx="4">
                    <c:v>2025</c:v>
                  </c:pt>
                  <c:pt idx="5">
                    <c:v>2026</c:v>
                  </c:pt>
                  <c:pt idx="6">
                    <c:v>2025</c:v>
                  </c:pt>
                  <c:pt idx="7">
                    <c:v>2026</c:v>
                  </c:pt>
                  <c:pt idx="8">
                    <c:v>2025</c:v>
                  </c:pt>
                  <c:pt idx="9">
                    <c:v>2026</c:v>
                  </c:pt>
                  <c:pt idx="10">
                    <c:v>2025</c:v>
                  </c:pt>
                  <c:pt idx="11">
                    <c:v>2026</c:v>
                  </c:pt>
                  <c:pt idx="12">
                    <c:v>2025</c:v>
                  </c:pt>
                  <c:pt idx="13">
                    <c:v>2026</c:v>
                  </c:pt>
                  <c:pt idx="14">
                    <c:v>2025</c:v>
                  </c:pt>
                  <c:pt idx="15">
                    <c:v>2026</c:v>
                  </c:pt>
                  <c:pt idx="16">
                    <c:v>2025</c:v>
                  </c:pt>
                  <c:pt idx="17">
                    <c:v>2026</c:v>
                  </c:pt>
                  <c:pt idx="18">
                    <c:v>2025</c:v>
                  </c:pt>
                  <c:pt idx="19">
                    <c:v>2026</c:v>
                  </c:pt>
                  <c:pt idx="20">
                    <c:v>2025</c:v>
                  </c:pt>
                  <c:pt idx="21">
                    <c:v>2026</c:v>
                  </c:pt>
                  <c:pt idx="22">
                    <c:v>2025</c:v>
                  </c:pt>
                  <c:pt idx="23">
                    <c:v>2026</c:v>
                  </c:pt>
                  <c:pt idx="24">
                    <c:v>2025</c:v>
                  </c:pt>
                  <c:pt idx="25">
                    <c:v>2026</c:v>
                  </c:pt>
                  <c:pt idx="26">
                    <c:v>2025</c:v>
                  </c:pt>
                  <c:pt idx="27">
                    <c:v>2026</c:v>
                  </c:pt>
                  <c:pt idx="28">
                    <c:v>2025</c:v>
                  </c:pt>
                  <c:pt idx="29">
                    <c:v>2026</c:v>
                  </c:pt>
                  <c:pt idx="30">
                    <c:v>2025</c:v>
                  </c:pt>
                  <c:pt idx="31">
                    <c:v>2026</c:v>
                  </c:pt>
                  <c:pt idx="32">
                    <c:v>2025</c:v>
                  </c:pt>
                  <c:pt idx="33">
                    <c:v>2026</c:v>
                  </c:pt>
                  <c:pt idx="34">
                    <c:v>2025</c:v>
                  </c:pt>
                  <c:pt idx="35">
                    <c:v>2026</c:v>
                  </c:pt>
                  <c:pt idx="36">
                    <c:v>2025</c:v>
                  </c:pt>
                  <c:pt idx="37">
                    <c:v>2026</c:v>
                  </c:pt>
                  <c:pt idx="38">
                    <c:v>2025</c:v>
                  </c:pt>
                  <c:pt idx="39">
                    <c:v>2026</c:v>
                  </c:pt>
                  <c:pt idx="40">
                    <c:v>2025</c:v>
                  </c:pt>
                  <c:pt idx="41">
                    <c:v>2026</c:v>
                  </c:pt>
                  <c:pt idx="42">
                    <c:v>2025</c:v>
                  </c:pt>
                  <c:pt idx="43">
                    <c:v>2026</c:v>
                  </c:pt>
                  <c:pt idx="44">
                    <c:v>2025</c:v>
                  </c:pt>
                  <c:pt idx="45">
                    <c:v>2026</c:v>
                  </c:pt>
                  <c:pt idx="46">
                    <c:v>2025</c:v>
                  </c:pt>
                  <c:pt idx="47">
                    <c:v>2026</c:v>
                  </c:pt>
                  <c:pt idx="48">
                    <c:v>2025</c:v>
                  </c:pt>
                  <c:pt idx="49">
                    <c:v>2026</c:v>
                  </c:pt>
                  <c:pt idx="50">
                    <c:v>2025</c:v>
                  </c:pt>
                  <c:pt idx="51">
                    <c:v>2026</c:v>
                  </c:pt>
                  <c:pt idx="52">
                    <c:v>2025</c:v>
                  </c:pt>
                  <c:pt idx="53">
                    <c:v>2026</c:v>
                  </c:pt>
                  <c:pt idx="54">
                    <c:v>2025</c:v>
                  </c:pt>
                  <c:pt idx="55">
                    <c:v>2026</c:v>
                  </c:pt>
                  <c:pt idx="56">
                    <c:v>2025</c:v>
                  </c:pt>
                  <c:pt idx="57">
                    <c:v>2026</c:v>
                  </c:pt>
                  <c:pt idx="58">
                    <c:v>2025</c:v>
                  </c:pt>
                  <c:pt idx="59">
                    <c:v>2026</c:v>
                  </c:pt>
                  <c:pt idx="60">
                    <c:v>2025</c:v>
                  </c:pt>
                  <c:pt idx="61">
                    <c:v>2026</c:v>
                  </c:pt>
                  <c:pt idx="62">
                    <c:v>2025</c:v>
                  </c:pt>
                  <c:pt idx="63">
                    <c:v>2026</c:v>
                  </c:pt>
                  <c:pt idx="64">
                    <c:v>2025</c:v>
                  </c:pt>
                  <c:pt idx="65">
                    <c:v>2026</c:v>
                  </c:pt>
                  <c:pt idx="66">
                    <c:v>2025</c:v>
                  </c:pt>
                  <c:pt idx="67">
                    <c:v>2026</c:v>
                  </c:pt>
                  <c:pt idx="68">
                    <c:v>2025</c:v>
                  </c:pt>
                  <c:pt idx="69">
                    <c:v>2026</c:v>
                  </c:pt>
                  <c:pt idx="70">
                    <c:v>2025</c:v>
                  </c:pt>
                  <c:pt idx="71">
                    <c:v>2026</c:v>
                  </c:pt>
                  <c:pt idx="72">
                    <c:v>2025</c:v>
                  </c:pt>
                  <c:pt idx="73">
                    <c:v>2026</c:v>
                  </c:pt>
                  <c:pt idx="74">
                    <c:v>2025</c:v>
                  </c:pt>
                  <c:pt idx="75">
                    <c:v>2026</c:v>
                  </c:pt>
                  <c:pt idx="76">
                    <c:v>2025</c:v>
                  </c:pt>
                  <c:pt idx="77">
                    <c:v>2026</c:v>
                  </c:pt>
                  <c:pt idx="78">
                    <c:v>2025</c:v>
                  </c:pt>
                  <c:pt idx="79">
                    <c:v>2026</c:v>
                  </c:pt>
                  <c:pt idx="80">
                    <c:v>2025</c:v>
                  </c:pt>
                  <c:pt idx="81">
                    <c:v>2026</c:v>
                  </c:pt>
                  <c:pt idx="82">
                    <c:v>2025</c:v>
                  </c:pt>
                  <c:pt idx="83">
                    <c:v>2026</c:v>
                  </c:pt>
                  <c:pt idx="84">
                    <c:v>2025</c:v>
                  </c:pt>
                  <c:pt idx="85">
                    <c:v>2026</c:v>
                  </c:pt>
                  <c:pt idx="86">
                    <c:v>2025</c:v>
                  </c:pt>
                  <c:pt idx="87">
                    <c:v>2026</c:v>
                  </c:pt>
                  <c:pt idx="88">
                    <c:v>2025</c:v>
                  </c:pt>
                  <c:pt idx="89">
                    <c:v>2026</c:v>
                  </c:pt>
                  <c:pt idx="90">
                    <c:v>2025</c:v>
                  </c:pt>
                  <c:pt idx="91">
                    <c:v>2026</c:v>
                  </c:pt>
                  <c:pt idx="92">
                    <c:v>2025</c:v>
                  </c:pt>
                  <c:pt idx="93">
                    <c:v>2026</c:v>
                  </c:pt>
                  <c:pt idx="94">
                    <c:v>2025</c:v>
                  </c:pt>
                  <c:pt idx="95">
                    <c:v>2026</c:v>
                  </c:pt>
                  <c:pt idx="96">
                    <c:v>2025</c:v>
                  </c:pt>
                  <c:pt idx="97">
                    <c:v>2026</c:v>
                  </c:pt>
                  <c:pt idx="98">
                    <c:v>2025</c:v>
                  </c:pt>
                  <c:pt idx="99">
                    <c:v>2026</c:v>
                  </c:pt>
                  <c:pt idx="100">
                    <c:v>2025</c:v>
                  </c:pt>
                  <c:pt idx="101">
                    <c:v>2026</c:v>
                  </c:pt>
                  <c:pt idx="102">
                    <c:v>2025</c:v>
                  </c:pt>
                  <c:pt idx="103">
                    <c:v>2026</c:v>
                  </c:pt>
                  <c:pt idx="104">
                    <c:v>2025</c:v>
                  </c:pt>
                  <c:pt idx="105">
                    <c:v>2026</c:v>
                  </c:pt>
                  <c:pt idx="106">
                    <c:v>2025</c:v>
                  </c:pt>
                  <c:pt idx="107">
                    <c:v>2026</c:v>
                  </c:pt>
                  <c:pt idx="108">
                    <c:v>2025</c:v>
                  </c:pt>
                  <c:pt idx="109">
                    <c:v>2026</c:v>
                  </c:pt>
                  <c:pt idx="110">
                    <c:v>2025</c:v>
                  </c:pt>
                  <c:pt idx="111">
                    <c:v>2026</c:v>
                  </c:pt>
                  <c:pt idx="112">
                    <c:v>2025</c:v>
                  </c:pt>
                  <c:pt idx="113">
                    <c:v>2026</c:v>
                  </c:pt>
                  <c:pt idx="114">
                    <c:v>2025</c:v>
                  </c:pt>
                  <c:pt idx="115">
                    <c:v>2026</c:v>
                  </c:pt>
                  <c:pt idx="116">
                    <c:v>2025</c:v>
                  </c:pt>
                  <c:pt idx="117">
                    <c:v>2026</c:v>
                  </c:pt>
                  <c:pt idx="118">
                    <c:v>2025</c:v>
                  </c:pt>
                  <c:pt idx="119">
                    <c:v>2026</c:v>
                  </c:pt>
                  <c:pt idx="120">
                    <c:v>2025</c:v>
                  </c:pt>
                  <c:pt idx="121">
                    <c:v>2026</c:v>
                  </c:pt>
                  <c:pt idx="122">
                    <c:v>2025</c:v>
                  </c:pt>
                  <c:pt idx="123">
                    <c:v>2026</c:v>
                  </c:pt>
                  <c:pt idx="124">
                    <c:v>2025</c:v>
                  </c:pt>
                  <c:pt idx="125">
                    <c:v>2026</c:v>
                  </c:pt>
                  <c:pt idx="126">
                    <c:v>2025</c:v>
                  </c:pt>
                  <c:pt idx="127">
                    <c:v>2026</c:v>
                  </c:pt>
                  <c:pt idx="128">
                    <c:v>2025</c:v>
                  </c:pt>
                  <c:pt idx="129">
                    <c:v>2026</c:v>
                  </c:pt>
                  <c:pt idx="130">
                    <c:v>2025</c:v>
                  </c:pt>
                  <c:pt idx="131">
                    <c:v>2026</c:v>
                  </c:pt>
                  <c:pt idx="132">
                    <c:v>2025</c:v>
                  </c:pt>
                  <c:pt idx="133">
                    <c:v>2026</c:v>
                  </c:pt>
                </c:lvl>
                <c:lvl>
                  <c:pt idx="0">
                    <c:v>Alexandre Alves</c:v>
                  </c:pt>
                  <c:pt idx="2">
                    <c:v>Alexia Teixeira</c:v>
                  </c:pt>
                  <c:pt idx="4">
                    <c:v>Ana Beatriz da Cruz</c:v>
                  </c:pt>
                  <c:pt idx="6">
                    <c:v>Ana Clara Rezende</c:v>
                  </c:pt>
                  <c:pt idx="8">
                    <c:v>Ana Júlia Pires</c:v>
                  </c:pt>
                  <c:pt idx="10">
                    <c:v>Ana Laura Pires</c:v>
                  </c:pt>
                  <c:pt idx="12">
                    <c:v>Ana Lívia Pereira</c:v>
                  </c:pt>
                  <c:pt idx="14">
                    <c:v>Ana Paula Mendes</c:v>
                  </c:pt>
                  <c:pt idx="16">
                    <c:v>Arthur Cavalcanti</c:v>
                  </c:pt>
                  <c:pt idx="18">
                    <c:v>Arthur Melo</c:v>
                  </c:pt>
                  <c:pt idx="20">
                    <c:v>Bárbara Freitas</c:v>
                  </c:pt>
                  <c:pt idx="22">
                    <c:v>Beatriz Fernandes</c:v>
                  </c:pt>
                  <c:pt idx="24">
                    <c:v>Bruno Castro</c:v>
                  </c:pt>
                  <c:pt idx="26">
                    <c:v>Camila Rocha</c:v>
                  </c:pt>
                  <c:pt idx="28">
                    <c:v>Carolina Barbosa</c:v>
                  </c:pt>
                  <c:pt idx="30">
                    <c:v>Danilo Moraes</c:v>
                  </c:pt>
                  <c:pt idx="32">
                    <c:v>Danilo Ribeiro</c:v>
                  </c:pt>
                  <c:pt idx="34">
                    <c:v>Débora Nascimento</c:v>
                  </c:pt>
                  <c:pt idx="36">
                    <c:v>Diego Pinto</c:v>
                  </c:pt>
                  <c:pt idx="38">
                    <c:v>Dr. André Duarte</c:v>
                  </c:pt>
                  <c:pt idx="40">
                    <c:v>Dr. Lucas da Costa</c:v>
                  </c:pt>
                  <c:pt idx="42">
                    <c:v>Dr. Nicolas Ribeiro</c:v>
                  </c:pt>
                  <c:pt idx="44">
                    <c:v>Eduarda Melo</c:v>
                  </c:pt>
                  <c:pt idx="46">
                    <c:v>Eduardo Farias</c:v>
                  </c:pt>
                  <c:pt idx="48">
                    <c:v>Eduardo Gomes</c:v>
                  </c:pt>
                  <c:pt idx="50">
                    <c:v>Felipe Carvalho</c:v>
                  </c:pt>
                  <c:pt idx="52">
                    <c:v>Felipe Santos</c:v>
                  </c:pt>
                  <c:pt idx="54">
                    <c:v>Fernanda Lima</c:v>
                  </c:pt>
                  <c:pt idx="56">
                    <c:v>Fernando da Rosa</c:v>
                  </c:pt>
                  <c:pt idx="58">
                    <c:v>Gabriela Fogaça</c:v>
                  </c:pt>
                  <c:pt idx="60">
                    <c:v>Gabriela Torres</c:v>
                  </c:pt>
                  <c:pt idx="62">
                    <c:v>Heloísa da Cruz</c:v>
                  </c:pt>
                  <c:pt idx="64">
                    <c:v>Isabelly Cardoso</c:v>
                  </c:pt>
                  <c:pt idx="66">
                    <c:v>Isadora Rezende</c:v>
                  </c:pt>
                  <c:pt idx="68">
                    <c:v>Isis Sales</c:v>
                  </c:pt>
                  <c:pt idx="70">
                    <c:v>João Carlos Ribeiro</c:v>
                  </c:pt>
                  <c:pt idx="72">
                    <c:v>João Guilherme Farias</c:v>
                  </c:pt>
                  <c:pt idx="74">
                    <c:v>João Miguel Cunha</c:v>
                  </c:pt>
                  <c:pt idx="76">
                    <c:v>João Miguel Pereira</c:v>
                  </c:pt>
                  <c:pt idx="78">
                    <c:v>Julia Rodrigues</c:v>
                  </c:pt>
                  <c:pt idx="80">
                    <c:v>Juliana Ramos</c:v>
                  </c:pt>
                  <c:pt idx="82">
                    <c:v>Lavínia Araújo</c:v>
                  </c:pt>
                  <c:pt idx="84">
                    <c:v>Lavínia Azevedo</c:v>
                  </c:pt>
                  <c:pt idx="86">
                    <c:v>Luana Cardoso</c:v>
                  </c:pt>
                  <c:pt idx="88">
                    <c:v>Lucas Oliveira</c:v>
                  </c:pt>
                  <c:pt idx="90">
                    <c:v>Luigi das Neves</c:v>
                  </c:pt>
                  <c:pt idx="92">
                    <c:v>Marcos Silva</c:v>
                  </c:pt>
                  <c:pt idx="94">
                    <c:v>Maria Luiza Caldeira</c:v>
                  </c:pt>
                  <c:pt idx="96">
                    <c:v>Maria Luiza Nunes</c:v>
                  </c:pt>
                  <c:pt idx="98">
                    <c:v>Melissa Ferreira</c:v>
                  </c:pt>
                  <c:pt idx="100">
                    <c:v>Murilo Moreira</c:v>
                  </c:pt>
                  <c:pt idx="102">
                    <c:v>Nathan da Mata</c:v>
                  </c:pt>
                  <c:pt idx="104">
                    <c:v>Patrícia Andrade</c:v>
                  </c:pt>
                  <c:pt idx="106">
                    <c:v>Pedro Henrique Souza</c:v>
                  </c:pt>
                  <c:pt idx="108">
                    <c:v>Pedro Lucas Monteiro</c:v>
                  </c:pt>
                  <c:pt idx="110">
                    <c:v>Pietro da Rosa</c:v>
                  </c:pt>
                  <c:pt idx="112">
                    <c:v>Raquel Cavalcanti</c:v>
                  </c:pt>
                  <c:pt idx="114">
                    <c:v>Rebeca Campos</c:v>
                  </c:pt>
                  <c:pt idx="116">
                    <c:v>Renan Ramos</c:v>
                  </c:pt>
                  <c:pt idx="118">
                    <c:v>Sabrina Nunes</c:v>
                  </c:pt>
                  <c:pt idx="120">
                    <c:v>Sra. Raquel Porto</c:v>
                  </c:pt>
                  <c:pt idx="122">
                    <c:v>Srta. Raquel Castro</c:v>
                  </c:pt>
                  <c:pt idx="124">
                    <c:v>Tatiane Martins</c:v>
                  </c:pt>
                  <c:pt idx="126">
                    <c:v>Thiago Correia</c:v>
                  </c:pt>
                  <c:pt idx="128">
                    <c:v>Vinícius Pires</c:v>
                  </c:pt>
                  <c:pt idx="130">
                    <c:v>Vitor Gabriel Alves</c:v>
                  </c:pt>
                  <c:pt idx="132">
                    <c:v>Yago Moreira</c:v>
                  </c:pt>
                </c:lvl>
              </c:multiLvlStrCache>
            </c:multiLvlStrRef>
          </c:cat>
          <c:val>
            <c:numRef>
              <c:f>'Td10'!$B$4:$B$205</c:f>
              <c:numCache>
                <c:formatCode>General</c:formatCode>
                <c:ptCount val="134"/>
                <c:pt idx="0">
                  <c:v>23</c:v>
                </c:pt>
                <c:pt idx="1">
                  <c:v>44</c:v>
                </c:pt>
                <c:pt idx="2">
                  <c:v>34</c:v>
                </c:pt>
                <c:pt idx="3">
                  <c:v>65</c:v>
                </c:pt>
                <c:pt idx="4">
                  <c:v>212</c:v>
                </c:pt>
                <c:pt idx="5">
                  <c:v>54</c:v>
                </c:pt>
                <c:pt idx="6">
                  <c:v>343</c:v>
                </c:pt>
                <c:pt idx="7">
                  <c:v>32</c:v>
                </c:pt>
                <c:pt idx="8">
                  <c:v>12</c:v>
                </c:pt>
                <c:pt idx="9">
                  <c:v>54</c:v>
                </c:pt>
                <c:pt idx="10">
                  <c:v>56</c:v>
                </c:pt>
                <c:pt idx="11">
                  <c:v>65</c:v>
                </c:pt>
                <c:pt idx="12">
                  <c:v>34</c:v>
                </c:pt>
                <c:pt idx="13">
                  <c:v>12</c:v>
                </c:pt>
                <c:pt idx="14">
                  <c:v>374</c:v>
                </c:pt>
                <c:pt idx="15">
                  <c:v>43</c:v>
                </c:pt>
                <c:pt idx="16">
                  <c:v>45</c:v>
                </c:pt>
                <c:pt idx="17">
                  <c:v>23</c:v>
                </c:pt>
                <c:pt idx="18">
                  <c:v>55</c:v>
                </c:pt>
                <c:pt idx="19">
                  <c:v>45</c:v>
                </c:pt>
                <c:pt idx="20">
                  <c:v>76</c:v>
                </c:pt>
                <c:pt idx="21">
                  <c:v>24</c:v>
                </c:pt>
                <c:pt idx="22">
                  <c:v>673</c:v>
                </c:pt>
                <c:pt idx="23">
                  <c:v>45</c:v>
                </c:pt>
                <c:pt idx="24">
                  <c:v>232</c:v>
                </c:pt>
                <c:pt idx="25">
                  <c:v>76</c:v>
                </c:pt>
                <c:pt idx="26">
                  <c:v>155</c:v>
                </c:pt>
                <c:pt idx="27">
                  <c:v>12</c:v>
                </c:pt>
                <c:pt idx="28">
                  <c:v>355</c:v>
                </c:pt>
                <c:pt idx="29">
                  <c:v>23</c:v>
                </c:pt>
                <c:pt idx="30">
                  <c:v>11</c:v>
                </c:pt>
                <c:pt idx="31">
                  <c:v>46</c:v>
                </c:pt>
                <c:pt idx="32">
                  <c:v>123</c:v>
                </c:pt>
                <c:pt idx="33">
                  <c:v>34</c:v>
                </c:pt>
                <c:pt idx="34">
                  <c:v>356</c:v>
                </c:pt>
                <c:pt idx="35">
                  <c:v>43</c:v>
                </c:pt>
                <c:pt idx="36">
                  <c:v>54</c:v>
                </c:pt>
                <c:pt idx="37">
                  <c:v>32</c:v>
                </c:pt>
                <c:pt idx="38">
                  <c:v>44</c:v>
                </c:pt>
                <c:pt idx="39">
                  <c:v>12</c:v>
                </c:pt>
                <c:pt idx="40">
                  <c:v>43</c:v>
                </c:pt>
                <c:pt idx="41">
                  <c:v>20</c:v>
                </c:pt>
                <c:pt idx="42">
                  <c:v>234</c:v>
                </c:pt>
                <c:pt idx="43">
                  <c:v>54</c:v>
                </c:pt>
                <c:pt idx="44">
                  <c:v>45</c:v>
                </c:pt>
                <c:pt idx="45">
                  <c:v>12</c:v>
                </c:pt>
                <c:pt idx="46">
                  <c:v>464</c:v>
                </c:pt>
                <c:pt idx="47">
                  <c:v>56</c:v>
                </c:pt>
                <c:pt idx="48">
                  <c:v>33</c:v>
                </c:pt>
                <c:pt idx="49">
                  <c:v>84</c:v>
                </c:pt>
                <c:pt idx="50">
                  <c:v>54</c:v>
                </c:pt>
                <c:pt idx="51">
                  <c:v>43</c:v>
                </c:pt>
                <c:pt idx="52">
                  <c:v>32</c:v>
                </c:pt>
                <c:pt idx="53">
                  <c:v>43</c:v>
                </c:pt>
                <c:pt idx="54">
                  <c:v>255</c:v>
                </c:pt>
                <c:pt idx="55">
                  <c:v>23</c:v>
                </c:pt>
                <c:pt idx="56">
                  <c:v>432</c:v>
                </c:pt>
                <c:pt idx="57">
                  <c:v>65</c:v>
                </c:pt>
                <c:pt idx="58">
                  <c:v>123</c:v>
                </c:pt>
                <c:pt idx="59">
                  <c:v>64</c:v>
                </c:pt>
                <c:pt idx="60">
                  <c:v>330</c:v>
                </c:pt>
                <c:pt idx="61">
                  <c:v>66</c:v>
                </c:pt>
                <c:pt idx="62">
                  <c:v>43</c:v>
                </c:pt>
                <c:pt idx="63">
                  <c:v>34</c:v>
                </c:pt>
                <c:pt idx="64">
                  <c:v>32</c:v>
                </c:pt>
                <c:pt idx="65">
                  <c:v>76</c:v>
                </c:pt>
                <c:pt idx="66">
                  <c:v>11</c:v>
                </c:pt>
                <c:pt idx="67">
                  <c:v>55</c:v>
                </c:pt>
                <c:pt idx="68">
                  <c:v>66</c:v>
                </c:pt>
                <c:pt idx="69">
                  <c:v>12</c:v>
                </c:pt>
                <c:pt idx="70">
                  <c:v>265</c:v>
                </c:pt>
                <c:pt idx="71">
                  <c:v>32</c:v>
                </c:pt>
                <c:pt idx="72">
                  <c:v>12</c:v>
                </c:pt>
                <c:pt idx="73">
                  <c:v>25</c:v>
                </c:pt>
                <c:pt idx="74">
                  <c:v>12</c:v>
                </c:pt>
                <c:pt idx="75">
                  <c:v>66</c:v>
                </c:pt>
                <c:pt idx="76">
                  <c:v>43</c:v>
                </c:pt>
                <c:pt idx="77">
                  <c:v>43</c:v>
                </c:pt>
                <c:pt idx="78">
                  <c:v>45</c:v>
                </c:pt>
                <c:pt idx="79">
                  <c:v>223</c:v>
                </c:pt>
                <c:pt idx="80">
                  <c:v>412</c:v>
                </c:pt>
                <c:pt idx="81">
                  <c:v>18</c:v>
                </c:pt>
                <c:pt idx="82">
                  <c:v>66</c:v>
                </c:pt>
                <c:pt idx="83">
                  <c:v>121</c:v>
                </c:pt>
                <c:pt idx="84">
                  <c:v>432</c:v>
                </c:pt>
                <c:pt idx="85">
                  <c:v>118</c:v>
                </c:pt>
                <c:pt idx="86">
                  <c:v>33</c:v>
                </c:pt>
                <c:pt idx="87">
                  <c:v>29</c:v>
                </c:pt>
                <c:pt idx="88">
                  <c:v>64</c:v>
                </c:pt>
                <c:pt idx="89">
                  <c:v>87</c:v>
                </c:pt>
                <c:pt idx="90">
                  <c:v>45</c:v>
                </c:pt>
                <c:pt idx="91">
                  <c:v>35</c:v>
                </c:pt>
                <c:pt idx="92">
                  <c:v>464</c:v>
                </c:pt>
                <c:pt idx="93">
                  <c:v>54</c:v>
                </c:pt>
                <c:pt idx="94">
                  <c:v>123</c:v>
                </c:pt>
                <c:pt idx="95">
                  <c:v>25</c:v>
                </c:pt>
                <c:pt idx="96">
                  <c:v>22</c:v>
                </c:pt>
                <c:pt idx="97">
                  <c:v>43</c:v>
                </c:pt>
                <c:pt idx="98">
                  <c:v>412</c:v>
                </c:pt>
                <c:pt idx="99">
                  <c:v>66</c:v>
                </c:pt>
                <c:pt idx="100">
                  <c:v>34</c:v>
                </c:pt>
                <c:pt idx="101">
                  <c:v>54</c:v>
                </c:pt>
                <c:pt idx="102">
                  <c:v>32</c:v>
                </c:pt>
                <c:pt idx="103">
                  <c:v>44</c:v>
                </c:pt>
                <c:pt idx="104">
                  <c:v>720</c:v>
                </c:pt>
                <c:pt idx="105">
                  <c:v>62</c:v>
                </c:pt>
                <c:pt idx="106">
                  <c:v>266</c:v>
                </c:pt>
                <c:pt idx="107">
                  <c:v>32</c:v>
                </c:pt>
                <c:pt idx="108">
                  <c:v>56</c:v>
                </c:pt>
                <c:pt idx="109">
                  <c:v>43</c:v>
                </c:pt>
                <c:pt idx="110">
                  <c:v>22</c:v>
                </c:pt>
                <c:pt idx="111">
                  <c:v>32</c:v>
                </c:pt>
                <c:pt idx="112">
                  <c:v>232</c:v>
                </c:pt>
                <c:pt idx="113">
                  <c:v>77</c:v>
                </c:pt>
                <c:pt idx="114">
                  <c:v>33</c:v>
                </c:pt>
                <c:pt idx="115">
                  <c:v>46</c:v>
                </c:pt>
                <c:pt idx="116">
                  <c:v>431</c:v>
                </c:pt>
                <c:pt idx="117">
                  <c:v>45</c:v>
                </c:pt>
                <c:pt idx="118">
                  <c:v>321</c:v>
                </c:pt>
                <c:pt idx="119">
                  <c:v>25</c:v>
                </c:pt>
                <c:pt idx="120">
                  <c:v>421</c:v>
                </c:pt>
                <c:pt idx="121">
                  <c:v>34</c:v>
                </c:pt>
                <c:pt idx="122">
                  <c:v>12</c:v>
                </c:pt>
                <c:pt idx="123">
                  <c:v>75</c:v>
                </c:pt>
                <c:pt idx="124">
                  <c:v>54</c:v>
                </c:pt>
                <c:pt idx="125">
                  <c:v>43</c:v>
                </c:pt>
                <c:pt idx="126">
                  <c:v>829</c:v>
                </c:pt>
                <c:pt idx="127">
                  <c:v>55</c:v>
                </c:pt>
                <c:pt idx="128">
                  <c:v>64</c:v>
                </c:pt>
                <c:pt idx="129">
                  <c:v>23</c:v>
                </c:pt>
                <c:pt idx="130">
                  <c:v>341</c:v>
                </c:pt>
                <c:pt idx="131">
                  <c:v>34</c:v>
                </c:pt>
                <c:pt idx="132">
                  <c:v>233</c:v>
                </c:pt>
                <c:pt idx="13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B-45E7-8C48-E76BB03AE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499023"/>
        <c:axId val="1129496143"/>
      </c:barChart>
      <c:catAx>
        <c:axId val="112949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9496143"/>
        <c:crosses val="autoZero"/>
        <c:auto val="1"/>
        <c:lblAlgn val="ctr"/>
        <c:lblOffset val="100"/>
        <c:noMultiLvlLbl val="0"/>
      </c:catAx>
      <c:valAx>
        <c:axId val="112949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949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.xlsm]Td1!Tabela dinâmica8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'Td1'!$B$1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'Td1'!$A$2:$A$98</c:f>
              <c:multiLvlStrCache>
                <c:ptCount val="91"/>
                <c:lvl>
                  <c:pt idx="0">
                    <c:v>Batata frita congelada</c:v>
                  </c:pt>
                  <c:pt idx="1">
                    <c:v>Creme dental</c:v>
                  </c:pt>
                  <c:pt idx="2">
                    <c:v>Esponja</c:v>
                  </c:pt>
                  <c:pt idx="3">
                    <c:v>Gelatina</c:v>
                  </c:pt>
                  <c:pt idx="4">
                    <c:v>Iogurte</c:v>
                  </c:pt>
                  <c:pt idx="5">
                    <c:v>Laranja</c:v>
                  </c:pt>
                  <c:pt idx="6">
                    <c:v>Leite</c:v>
                  </c:pt>
                  <c:pt idx="7">
                    <c:v>Pastel</c:v>
                  </c:pt>
                  <c:pt idx="8">
                    <c:v>Pudim</c:v>
                  </c:pt>
                  <c:pt idx="9">
                    <c:v>Shoyu</c:v>
                  </c:pt>
                  <c:pt idx="10">
                    <c:v>Sorvete</c:v>
                  </c:pt>
                  <c:pt idx="11">
                    <c:v>Açúcar</c:v>
                  </c:pt>
                  <c:pt idx="12">
                    <c:v>Alface</c:v>
                  </c:pt>
                  <c:pt idx="13">
                    <c:v>Aveia</c:v>
                  </c:pt>
                  <c:pt idx="14">
                    <c:v>Bolacha</c:v>
                  </c:pt>
                  <c:pt idx="15">
                    <c:v>Carne bovina</c:v>
                  </c:pt>
                  <c:pt idx="16">
                    <c:v>Chá</c:v>
                  </c:pt>
                  <c:pt idx="17">
                    <c:v>Ervilha</c:v>
                  </c:pt>
                  <c:pt idx="18">
                    <c:v>Esfiha</c:v>
                  </c:pt>
                  <c:pt idx="19">
                    <c:v>Granola</c:v>
                  </c:pt>
                  <c:pt idx="20">
                    <c:v>Leite</c:v>
                  </c:pt>
                  <c:pt idx="21">
                    <c:v>Linguiça</c:v>
                  </c:pt>
                  <c:pt idx="22">
                    <c:v>Maionese</c:v>
                  </c:pt>
                  <c:pt idx="23">
                    <c:v>Polpa de fruta</c:v>
                  </c:pt>
                  <c:pt idx="24">
                    <c:v>Queijo</c:v>
                  </c:pt>
                  <c:pt idx="25">
                    <c:v>Salsicha</c:v>
                  </c:pt>
                  <c:pt idx="26">
                    <c:v>Sardinha</c:v>
                  </c:pt>
                  <c:pt idx="27">
                    <c:v>Tomate</c:v>
                  </c:pt>
                  <c:pt idx="28">
                    <c:v>Uva</c:v>
                  </c:pt>
                  <c:pt idx="29">
                    <c:v>Açúcar</c:v>
                  </c:pt>
                  <c:pt idx="30">
                    <c:v>Amaciante</c:v>
                  </c:pt>
                  <c:pt idx="31">
                    <c:v>Banana</c:v>
                  </c:pt>
                  <c:pt idx="32">
                    <c:v>Batata</c:v>
                  </c:pt>
                  <c:pt idx="33">
                    <c:v>Biscoito</c:v>
                  </c:pt>
                  <c:pt idx="34">
                    <c:v>Carne bovina</c:v>
                  </c:pt>
                  <c:pt idx="35">
                    <c:v>Coxinha</c:v>
                  </c:pt>
                  <c:pt idx="36">
                    <c:v>Desinfetante</c:v>
                  </c:pt>
                  <c:pt idx="37">
                    <c:v>Detergente</c:v>
                  </c:pt>
                  <c:pt idx="38">
                    <c:v>Escova de dentes</c:v>
                  </c:pt>
                  <c:pt idx="39">
                    <c:v>Farofa</c:v>
                  </c:pt>
                  <c:pt idx="40">
                    <c:v>Frango</c:v>
                  </c:pt>
                  <c:pt idx="41">
                    <c:v>Grão de bico</c:v>
                  </c:pt>
                  <c:pt idx="42">
                    <c:v>Iogurte</c:v>
                  </c:pt>
                  <c:pt idx="43">
                    <c:v>Leite</c:v>
                  </c:pt>
                  <c:pt idx="44">
                    <c:v>Maçã</c:v>
                  </c:pt>
                  <c:pt idx="45">
                    <c:v>Mostarda</c:v>
                  </c:pt>
                  <c:pt idx="46">
                    <c:v>Pastilha</c:v>
                  </c:pt>
                  <c:pt idx="47">
                    <c:v>Sabonete</c:v>
                  </c:pt>
                  <c:pt idx="48">
                    <c:v>Shoyu</c:v>
                  </c:pt>
                  <c:pt idx="49">
                    <c:v>Suco</c:v>
                  </c:pt>
                  <c:pt idx="50">
                    <c:v>Tomate</c:v>
                  </c:pt>
                  <c:pt idx="51">
                    <c:v>Whisky</c:v>
                  </c:pt>
                  <c:pt idx="52">
                    <c:v>Abacaxi</c:v>
                  </c:pt>
                  <c:pt idx="53">
                    <c:v>Açúcar</c:v>
                  </c:pt>
                  <c:pt idx="54">
                    <c:v>Amaciante</c:v>
                  </c:pt>
                  <c:pt idx="55">
                    <c:v>Bolacha</c:v>
                  </c:pt>
                  <c:pt idx="56">
                    <c:v>Cebola</c:v>
                  </c:pt>
                  <c:pt idx="57">
                    <c:v>Detergente</c:v>
                  </c:pt>
                  <c:pt idx="58">
                    <c:v>Esfiha</c:v>
                  </c:pt>
                  <c:pt idx="59">
                    <c:v>Frango</c:v>
                  </c:pt>
                  <c:pt idx="60">
                    <c:v>Grão de bico</c:v>
                  </c:pt>
                  <c:pt idx="61">
                    <c:v>Lentilha</c:v>
                  </c:pt>
                  <c:pt idx="62">
                    <c:v>Macarrão</c:v>
                  </c:pt>
                  <c:pt idx="63">
                    <c:v>Mamão</c:v>
                  </c:pt>
                  <c:pt idx="64">
                    <c:v>Molho de pimenta</c:v>
                  </c:pt>
                  <c:pt idx="65">
                    <c:v>Mostarda</c:v>
                  </c:pt>
                  <c:pt idx="66">
                    <c:v>Pastilha</c:v>
                  </c:pt>
                  <c:pt idx="67">
                    <c:v>Peixe</c:v>
                  </c:pt>
                  <c:pt idx="68">
                    <c:v>Pimenta</c:v>
                  </c:pt>
                  <c:pt idx="69">
                    <c:v>Refrigerante</c:v>
                  </c:pt>
                  <c:pt idx="70">
                    <c:v>Sabão em pó</c:v>
                  </c:pt>
                  <c:pt idx="71">
                    <c:v>Uva</c:v>
                  </c:pt>
                  <c:pt idx="72">
                    <c:v>Açúcar</c:v>
                  </c:pt>
                  <c:pt idx="73">
                    <c:v>Álcool</c:v>
                  </c:pt>
                  <c:pt idx="74">
                    <c:v>Alface</c:v>
                  </c:pt>
                  <c:pt idx="75">
                    <c:v>Café</c:v>
                  </c:pt>
                  <c:pt idx="76">
                    <c:v>Chá</c:v>
                  </c:pt>
                  <c:pt idx="77">
                    <c:v>Condicionador</c:v>
                  </c:pt>
                  <c:pt idx="78">
                    <c:v>Coxinha</c:v>
                  </c:pt>
                  <c:pt idx="79">
                    <c:v>Creme de leite</c:v>
                  </c:pt>
                  <c:pt idx="80">
                    <c:v>Farofa</c:v>
                  </c:pt>
                  <c:pt idx="81">
                    <c:v>Fósforo</c:v>
                  </c:pt>
                  <c:pt idx="82">
                    <c:v>Leite condensado</c:v>
                  </c:pt>
                  <c:pt idx="83">
                    <c:v>Molho inglês</c:v>
                  </c:pt>
                  <c:pt idx="84">
                    <c:v>Papel higiênico</c:v>
                  </c:pt>
                  <c:pt idx="85">
                    <c:v>Pastilha</c:v>
                  </c:pt>
                  <c:pt idx="86">
                    <c:v>Pizza congelada</c:v>
                  </c:pt>
                  <c:pt idx="87">
                    <c:v>Presunto</c:v>
                  </c:pt>
                  <c:pt idx="88">
                    <c:v>Repolho</c:v>
                  </c:pt>
                  <c:pt idx="89">
                    <c:v>Salsicha</c:v>
                  </c:pt>
                  <c:pt idx="90">
                    <c:v>Sorvete</c:v>
                  </c:pt>
                </c:lvl>
                <c:lvl>
                  <c:pt idx="0">
                    <c:v>Alimentos Brasil</c:v>
                  </c:pt>
                  <c:pt idx="11">
                    <c:v>Atacadão Norte</c:v>
                  </c:pt>
                  <c:pt idx="29">
                    <c:v>Distribuidora Silva</c:v>
                  </c:pt>
                  <c:pt idx="52">
                    <c:v>Fornec Ltda</c:v>
                  </c:pt>
                  <c:pt idx="72">
                    <c:v>Sul Distribuidora</c:v>
                  </c:pt>
                </c:lvl>
              </c:multiLvlStrCache>
            </c:multiLvlStrRef>
          </c:cat>
          <c:val>
            <c:numRef>
              <c:f>'Td1'!$B$2:$B$98</c:f>
              <c:numCache>
                <c:formatCode>General</c:formatCode>
                <c:ptCount val="91"/>
                <c:pt idx="0">
                  <c:v>18929</c:v>
                </c:pt>
                <c:pt idx="1">
                  <c:v>31232</c:v>
                </c:pt>
                <c:pt idx="2">
                  <c:v>18929</c:v>
                </c:pt>
                <c:pt idx="3">
                  <c:v>18929</c:v>
                </c:pt>
                <c:pt idx="4">
                  <c:v>12312</c:v>
                </c:pt>
                <c:pt idx="5">
                  <c:v>1323</c:v>
                </c:pt>
                <c:pt idx="6">
                  <c:v>32121</c:v>
                </c:pt>
                <c:pt idx="7">
                  <c:v>40160</c:v>
                </c:pt>
                <c:pt idx="8">
                  <c:v>18929</c:v>
                </c:pt>
                <c:pt idx="9">
                  <c:v>123123</c:v>
                </c:pt>
                <c:pt idx="10">
                  <c:v>18929</c:v>
                </c:pt>
                <c:pt idx="11">
                  <c:v>18929</c:v>
                </c:pt>
                <c:pt idx="12">
                  <c:v>18929</c:v>
                </c:pt>
                <c:pt idx="13">
                  <c:v>18929</c:v>
                </c:pt>
                <c:pt idx="14">
                  <c:v>18929</c:v>
                </c:pt>
                <c:pt idx="15">
                  <c:v>18929</c:v>
                </c:pt>
                <c:pt idx="16">
                  <c:v>32223</c:v>
                </c:pt>
                <c:pt idx="17">
                  <c:v>32123</c:v>
                </c:pt>
                <c:pt idx="18">
                  <c:v>4123</c:v>
                </c:pt>
                <c:pt idx="19">
                  <c:v>18929</c:v>
                </c:pt>
                <c:pt idx="20">
                  <c:v>50160</c:v>
                </c:pt>
                <c:pt idx="21">
                  <c:v>12124</c:v>
                </c:pt>
                <c:pt idx="22">
                  <c:v>18929</c:v>
                </c:pt>
                <c:pt idx="23">
                  <c:v>18929</c:v>
                </c:pt>
                <c:pt idx="24">
                  <c:v>53435</c:v>
                </c:pt>
                <c:pt idx="25">
                  <c:v>18929</c:v>
                </c:pt>
                <c:pt idx="26">
                  <c:v>18929</c:v>
                </c:pt>
                <c:pt idx="27">
                  <c:v>18929</c:v>
                </c:pt>
                <c:pt idx="28">
                  <c:v>3124</c:v>
                </c:pt>
                <c:pt idx="29">
                  <c:v>12312</c:v>
                </c:pt>
                <c:pt idx="30">
                  <c:v>18929</c:v>
                </c:pt>
                <c:pt idx="31">
                  <c:v>18929</c:v>
                </c:pt>
                <c:pt idx="32">
                  <c:v>3221</c:v>
                </c:pt>
                <c:pt idx="33">
                  <c:v>18929</c:v>
                </c:pt>
                <c:pt idx="34">
                  <c:v>123123</c:v>
                </c:pt>
                <c:pt idx="35">
                  <c:v>4232</c:v>
                </c:pt>
                <c:pt idx="36">
                  <c:v>18929</c:v>
                </c:pt>
                <c:pt idx="37">
                  <c:v>18929</c:v>
                </c:pt>
                <c:pt idx="38">
                  <c:v>1231</c:v>
                </c:pt>
                <c:pt idx="39">
                  <c:v>269279</c:v>
                </c:pt>
                <c:pt idx="40">
                  <c:v>18929</c:v>
                </c:pt>
                <c:pt idx="41">
                  <c:v>18929</c:v>
                </c:pt>
                <c:pt idx="42">
                  <c:v>18929</c:v>
                </c:pt>
                <c:pt idx="43">
                  <c:v>23212</c:v>
                </c:pt>
                <c:pt idx="44">
                  <c:v>18929</c:v>
                </c:pt>
                <c:pt idx="45">
                  <c:v>412</c:v>
                </c:pt>
                <c:pt idx="46">
                  <c:v>18929</c:v>
                </c:pt>
                <c:pt idx="47">
                  <c:v>18929</c:v>
                </c:pt>
                <c:pt idx="48">
                  <c:v>72382</c:v>
                </c:pt>
                <c:pt idx="49">
                  <c:v>53453</c:v>
                </c:pt>
                <c:pt idx="50">
                  <c:v>123123</c:v>
                </c:pt>
                <c:pt idx="51">
                  <c:v>18929</c:v>
                </c:pt>
                <c:pt idx="52">
                  <c:v>18929</c:v>
                </c:pt>
                <c:pt idx="53">
                  <c:v>18929</c:v>
                </c:pt>
                <c:pt idx="54">
                  <c:v>18929</c:v>
                </c:pt>
                <c:pt idx="55">
                  <c:v>18929</c:v>
                </c:pt>
                <c:pt idx="56">
                  <c:v>31241</c:v>
                </c:pt>
                <c:pt idx="57">
                  <c:v>1231</c:v>
                </c:pt>
                <c:pt idx="58">
                  <c:v>3242</c:v>
                </c:pt>
                <c:pt idx="59">
                  <c:v>22052</c:v>
                </c:pt>
                <c:pt idx="60">
                  <c:v>18929</c:v>
                </c:pt>
                <c:pt idx="61">
                  <c:v>18929</c:v>
                </c:pt>
                <c:pt idx="62">
                  <c:v>12323</c:v>
                </c:pt>
                <c:pt idx="63">
                  <c:v>18929</c:v>
                </c:pt>
                <c:pt idx="64">
                  <c:v>18929</c:v>
                </c:pt>
                <c:pt idx="65">
                  <c:v>37858</c:v>
                </c:pt>
                <c:pt idx="66">
                  <c:v>423</c:v>
                </c:pt>
                <c:pt idx="67">
                  <c:v>18929</c:v>
                </c:pt>
                <c:pt idx="68">
                  <c:v>432</c:v>
                </c:pt>
                <c:pt idx="69">
                  <c:v>21231</c:v>
                </c:pt>
                <c:pt idx="70">
                  <c:v>18929</c:v>
                </c:pt>
                <c:pt idx="71">
                  <c:v>543</c:v>
                </c:pt>
                <c:pt idx="72">
                  <c:v>18929</c:v>
                </c:pt>
                <c:pt idx="73">
                  <c:v>3123</c:v>
                </c:pt>
                <c:pt idx="74">
                  <c:v>18929</c:v>
                </c:pt>
                <c:pt idx="75">
                  <c:v>41232</c:v>
                </c:pt>
                <c:pt idx="76">
                  <c:v>31223</c:v>
                </c:pt>
                <c:pt idx="77">
                  <c:v>12312</c:v>
                </c:pt>
                <c:pt idx="78">
                  <c:v>8468</c:v>
                </c:pt>
                <c:pt idx="79">
                  <c:v>18929</c:v>
                </c:pt>
                <c:pt idx="80">
                  <c:v>21123</c:v>
                </c:pt>
                <c:pt idx="81">
                  <c:v>18929</c:v>
                </c:pt>
                <c:pt idx="82">
                  <c:v>18929</c:v>
                </c:pt>
                <c:pt idx="83">
                  <c:v>18929</c:v>
                </c:pt>
                <c:pt idx="84">
                  <c:v>18929</c:v>
                </c:pt>
                <c:pt idx="85">
                  <c:v>18929</c:v>
                </c:pt>
                <c:pt idx="86">
                  <c:v>18929</c:v>
                </c:pt>
                <c:pt idx="87">
                  <c:v>53453</c:v>
                </c:pt>
                <c:pt idx="88">
                  <c:v>21321</c:v>
                </c:pt>
                <c:pt idx="89">
                  <c:v>21312</c:v>
                </c:pt>
                <c:pt idx="90">
                  <c:v>44323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1-4370-8A3F-D6F6CEF7E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21217375"/>
        <c:axId val="621217855"/>
        <c:axId val="0"/>
      </c:bar3DChart>
      <c:catAx>
        <c:axId val="6212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17855"/>
        <c:crosses val="autoZero"/>
        <c:auto val="1"/>
        <c:lblAlgn val="ctr"/>
        <c:lblOffset val="100"/>
        <c:noMultiLvlLbl val="0"/>
      </c:catAx>
      <c:valAx>
        <c:axId val="62121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.xlsm]Td2!Tabela dinâmica9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'Td2'!$B$3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'Td2'!$A$4:$A$161</c:f>
              <c:multiLvlStrCache>
                <c:ptCount val="91"/>
                <c:lvl>
                  <c:pt idx="0">
                    <c:v>Fornec Ltda</c:v>
                  </c:pt>
                  <c:pt idx="1">
                    <c:v>Atacadão Norte</c:v>
                  </c:pt>
                  <c:pt idx="2">
                    <c:v>Distribuidora Silva</c:v>
                  </c:pt>
                  <c:pt idx="3">
                    <c:v>Fornec Ltda</c:v>
                  </c:pt>
                  <c:pt idx="4">
                    <c:v>Sul Distribuidora</c:v>
                  </c:pt>
                  <c:pt idx="5">
                    <c:v>Sul Distribuidora</c:v>
                  </c:pt>
                  <c:pt idx="6">
                    <c:v>Atacadão Norte</c:v>
                  </c:pt>
                  <c:pt idx="7">
                    <c:v>Sul Distribuidora</c:v>
                  </c:pt>
                  <c:pt idx="8">
                    <c:v>Distribuidora Silva</c:v>
                  </c:pt>
                  <c:pt idx="9">
                    <c:v>Fornec Ltda</c:v>
                  </c:pt>
                  <c:pt idx="10">
                    <c:v>Atacadão Norte</c:v>
                  </c:pt>
                  <c:pt idx="11">
                    <c:v>Distribuidora Silva</c:v>
                  </c:pt>
                  <c:pt idx="12">
                    <c:v>Distribuidora Silva</c:v>
                  </c:pt>
                  <c:pt idx="13">
                    <c:v>Alimentos Brasil</c:v>
                  </c:pt>
                  <c:pt idx="14">
                    <c:v>Distribuidora Silva</c:v>
                  </c:pt>
                  <c:pt idx="15">
                    <c:v>Atacadão Norte</c:v>
                  </c:pt>
                  <c:pt idx="16">
                    <c:v>Fornec Ltda</c:v>
                  </c:pt>
                  <c:pt idx="17">
                    <c:v>Sul Distribuidora</c:v>
                  </c:pt>
                  <c:pt idx="18">
                    <c:v>Atacadão Norte</c:v>
                  </c:pt>
                  <c:pt idx="19">
                    <c:v>Distribuidora Silva</c:v>
                  </c:pt>
                  <c:pt idx="20">
                    <c:v>Fornec Ltda</c:v>
                  </c:pt>
                  <c:pt idx="21">
                    <c:v>Atacadão Norte</c:v>
                  </c:pt>
                  <c:pt idx="22">
                    <c:v>Sul Distribuidora</c:v>
                  </c:pt>
                  <c:pt idx="23">
                    <c:v>Sul Distribuidora</c:v>
                  </c:pt>
                  <c:pt idx="24">
                    <c:v>Distribuidora Silva</c:v>
                  </c:pt>
                  <c:pt idx="25">
                    <c:v>Sul Distribuidora</c:v>
                  </c:pt>
                  <c:pt idx="26">
                    <c:v>Sul Distribuidora</c:v>
                  </c:pt>
                  <c:pt idx="27">
                    <c:v>Alimentos Brasil</c:v>
                  </c:pt>
                  <c:pt idx="28">
                    <c:v>Distribuidora Silva</c:v>
                  </c:pt>
                  <c:pt idx="29">
                    <c:v>Distribuidora Silva</c:v>
                  </c:pt>
                  <c:pt idx="30">
                    <c:v>Fornec Ltda</c:v>
                  </c:pt>
                  <c:pt idx="31">
                    <c:v>Atacadão Norte</c:v>
                  </c:pt>
                  <c:pt idx="32">
                    <c:v>Distribuidora Silva</c:v>
                  </c:pt>
                  <c:pt idx="33">
                    <c:v>Atacadão Norte</c:v>
                  </c:pt>
                  <c:pt idx="34">
                    <c:v>Fornec Ltda</c:v>
                  </c:pt>
                  <c:pt idx="35">
                    <c:v>Alimentos Brasil</c:v>
                  </c:pt>
                  <c:pt idx="36">
                    <c:v>Distribuidora Silva</c:v>
                  </c:pt>
                  <c:pt idx="37">
                    <c:v>Sul Distribuidora</c:v>
                  </c:pt>
                  <c:pt idx="38">
                    <c:v>Sul Distribuidora</c:v>
                  </c:pt>
                  <c:pt idx="39">
                    <c:v>Distribuidora Silva</c:v>
                  </c:pt>
                  <c:pt idx="40">
                    <c:v>Fornec Ltda</c:v>
                  </c:pt>
                  <c:pt idx="41">
                    <c:v>Alimentos Brasil</c:v>
                  </c:pt>
                  <c:pt idx="42">
                    <c:v>Atacadão Norte</c:v>
                  </c:pt>
                  <c:pt idx="43">
                    <c:v>Distribuidora Silva</c:v>
                  </c:pt>
                  <c:pt idx="44">
                    <c:v>Fornec Ltda</c:v>
                  </c:pt>
                  <c:pt idx="45">
                    <c:v>Alimentos Brasil</c:v>
                  </c:pt>
                  <c:pt idx="46">
                    <c:v>Distribuidora Silva</c:v>
                  </c:pt>
                  <c:pt idx="47">
                    <c:v>Alimentos Brasil</c:v>
                  </c:pt>
                  <c:pt idx="48">
                    <c:v>Alimentos Brasil</c:v>
                  </c:pt>
                  <c:pt idx="49">
                    <c:v>Atacadão Norte</c:v>
                  </c:pt>
                  <c:pt idx="50">
                    <c:v>Distribuidora Silva</c:v>
                  </c:pt>
                  <c:pt idx="51">
                    <c:v>Sul Distribuidora</c:v>
                  </c:pt>
                  <c:pt idx="52">
                    <c:v>Fornec Ltda</c:v>
                  </c:pt>
                  <c:pt idx="53">
                    <c:v>Atacadão Norte</c:v>
                  </c:pt>
                  <c:pt idx="54">
                    <c:v>Distribuidora Silva</c:v>
                  </c:pt>
                  <c:pt idx="55">
                    <c:v>Fornec Ltda</c:v>
                  </c:pt>
                  <c:pt idx="56">
                    <c:v>Atacadão Norte</c:v>
                  </c:pt>
                  <c:pt idx="57">
                    <c:v>Fornec Ltda</c:v>
                  </c:pt>
                  <c:pt idx="58">
                    <c:v>Fornec Ltda</c:v>
                  </c:pt>
                  <c:pt idx="59">
                    <c:v>Sul Distribuidora</c:v>
                  </c:pt>
                  <c:pt idx="60">
                    <c:v>Distribuidora Silva</c:v>
                  </c:pt>
                  <c:pt idx="61">
                    <c:v>Fornec Ltda</c:v>
                  </c:pt>
                  <c:pt idx="62">
                    <c:v>Sul Distribuidora</c:v>
                  </c:pt>
                  <c:pt idx="63">
                    <c:v>Alimentos Brasil</c:v>
                  </c:pt>
                  <c:pt idx="64">
                    <c:v>Distribuidora Silva</c:v>
                  </c:pt>
                  <c:pt idx="65">
                    <c:v>Fornec Ltda</c:v>
                  </c:pt>
                  <c:pt idx="66">
                    <c:v>Sul Distribuidora</c:v>
                  </c:pt>
                  <c:pt idx="67">
                    <c:v>Fornec Ltda</c:v>
                  </c:pt>
                  <c:pt idx="68">
                    <c:v>Fornec Ltda</c:v>
                  </c:pt>
                  <c:pt idx="69">
                    <c:v>Sul Distribuidora</c:v>
                  </c:pt>
                  <c:pt idx="70">
                    <c:v>Atacadão Norte</c:v>
                  </c:pt>
                  <c:pt idx="71">
                    <c:v>Sul Distribuidora</c:v>
                  </c:pt>
                  <c:pt idx="72">
                    <c:v>Alimentos Brasil</c:v>
                  </c:pt>
                  <c:pt idx="73">
                    <c:v>Atacadão Norte</c:v>
                  </c:pt>
                  <c:pt idx="74">
                    <c:v>Fornec Ltda</c:v>
                  </c:pt>
                  <c:pt idx="75">
                    <c:v>Sul Distribuidora</c:v>
                  </c:pt>
                  <c:pt idx="76">
                    <c:v>Fornec Ltda</c:v>
                  </c:pt>
                  <c:pt idx="77">
                    <c:v>Distribuidora Silva</c:v>
                  </c:pt>
                  <c:pt idx="78">
                    <c:v>Atacadão Norte</c:v>
                  </c:pt>
                  <c:pt idx="79">
                    <c:v>Sul Distribuidora</c:v>
                  </c:pt>
                  <c:pt idx="80">
                    <c:v>Atacadão Norte</c:v>
                  </c:pt>
                  <c:pt idx="81">
                    <c:v>Alimentos Brasil</c:v>
                  </c:pt>
                  <c:pt idx="82">
                    <c:v>Distribuidora Silva</c:v>
                  </c:pt>
                  <c:pt idx="83">
                    <c:v>Alimentos Brasil</c:v>
                  </c:pt>
                  <c:pt idx="84">
                    <c:v>Sul Distribuidora</c:v>
                  </c:pt>
                  <c:pt idx="85">
                    <c:v>Distribuidora Silva</c:v>
                  </c:pt>
                  <c:pt idx="86">
                    <c:v>Atacadão Norte</c:v>
                  </c:pt>
                  <c:pt idx="87">
                    <c:v>Distribuidora Silva</c:v>
                  </c:pt>
                  <c:pt idx="88">
                    <c:v>Atacadão Norte</c:v>
                  </c:pt>
                  <c:pt idx="89">
                    <c:v>Fornec Ltda</c:v>
                  </c:pt>
                  <c:pt idx="90">
                    <c:v>Distribuidora Silva</c:v>
                  </c:pt>
                </c:lvl>
                <c:lvl>
                  <c:pt idx="0">
                    <c:v>Abacaxi</c:v>
                  </c:pt>
                  <c:pt idx="1">
                    <c:v>Açúcar</c:v>
                  </c:pt>
                  <c:pt idx="5">
                    <c:v>Álcool</c:v>
                  </c:pt>
                  <c:pt idx="6">
                    <c:v>Alface</c:v>
                  </c:pt>
                  <c:pt idx="8">
                    <c:v>Amaciante</c:v>
                  </c:pt>
                  <c:pt idx="10">
                    <c:v>Aveia</c:v>
                  </c:pt>
                  <c:pt idx="11">
                    <c:v>Banana</c:v>
                  </c:pt>
                  <c:pt idx="12">
                    <c:v>Batata</c:v>
                  </c:pt>
                  <c:pt idx="13">
                    <c:v>Batata frita congelada</c:v>
                  </c:pt>
                  <c:pt idx="14">
                    <c:v>Biscoito</c:v>
                  </c:pt>
                  <c:pt idx="15">
                    <c:v>Bolacha</c:v>
                  </c:pt>
                  <c:pt idx="17">
                    <c:v>Café</c:v>
                  </c:pt>
                  <c:pt idx="18">
                    <c:v>Carne bovina</c:v>
                  </c:pt>
                  <c:pt idx="20">
                    <c:v>Cebola</c:v>
                  </c:pt>
                  <c:pt idx="21">
                    <c:v>Chá</c:v>
                  </c:pt>
                  <c:pt idx="23">
                    <c:v>Condicionador</c:v>
                  </c:pt>
                  <c:pt idx="24">
                    <c:v>Coxinha</c:v>
                  </c:pt>
                  <c:pt idx="26">
                    <c:v>Creme de leite</c:v>
                  </c:pt>
                  <c:pt idx="27">
                    <c:v>Creme dental</c:v>
                  </c:pt>
                  <c:pt idx="28">
                    <c:v>Desinfetante</c:v>
                  </c:pt>
                  <c:pt idx="29">
                    <c:v>Detergente</c:v>
                  </c:pt>
                  <c:pt idx="31">
                    <c:v>Ervilha</c:v>
                  </c:pt>
                  <c:pt idx="32">
                    <c:v>Escova de dentes</c:v>
                  </c:pt>
                  <c:pt idx="33">
                    <c:v>Esfiha</c:v>
                  </c:pt>
                  <c:pt idx="35">
                    <c:v>Esponja</c:v>
                  </c:pt>
                  <c:pt idx="36">
                    <c:v>Farofa</c:v>
                  </c:pt>
                  <c:pt idx="38">
                    <c:v>Fósforo</c:v>
                  </c:pt>
                  <c:pt idx="39">
                    <c:v>Frango</c:v>
                  </c:pt>
                  <c:pt idx="41">
                    <c:v>Gelatina</c:v>
                  </c:pt>
                  <c:pt idx="42">
                    <c:v>Granola</c:v>
                  </c:pt>
                  <c:pt idx="43">
                    <c:v>Grão de bico</c:v>
                  </c:pt>
                  <c:pt idx="45">
                    <c:v>Iogurte</c:v>
                  </c:pt>
                  <c:pt idx="47">
                    <c:v>Laranja</c:v>
                  </c:pt>
                  <c:pt idx="48">
                    <c:v>Leite</c:v>
                  </c:pt>
                  <c:pt idx="51">
                    <c:v>Leite condensado</c:v>
                  </c:pt>
                  <c:pt idx="52">
                    <c:v>Lentilha</c:v>
                  </c:pt>
                  <c:pt idx="53">
                    <c:v>Linguiça</c:v>
                  </c:pt>
                  <c:pt idx="54">
                    <c:v>Maçã</c:v>
                  </c:pt>
                  <c:pt idx="55">
                    <c:v>Macarrão</c:v>
                  </c:pt>
                  <c:pt idx="56">
                    <c:v>Maionese</c:v>
                  </c:pt>
                  <c:pt idx="57">
                    <c:v>Mamão</c:v>
                  </c:pt>
                  <c:pt idx="58">
                    <c:v>Molho de pimenta</c:v>
                  </c:pt>
                  <c:pt idx="59">
                    <c:v>Molho inglês</c:v>
                  </c:pt>
                  <c:pt idx="60">
                    <c:v>Mostarda</c:v>
                  </c:pt>
                  <c:pt idx="62">
                    <c:v>Papel higiênico</c:v>
                  </c:pt>
                  <c:pt idx="63">
                    <c:v>Pastel</c:v>
                  </c:pt>
                  <c:pt idx="64">
                    <c:v>Pastilha</c:v>
                  </c:pt>
                  <c:pt idx="67">
                    <c:v>Peixe</c:v>
                  </c:pt>
                  <c:pt idx="68">
                    <c:v>Pimenta</c:v>
                  </c:pt>
                  <c:pt idx="69">
                    <c:v>Pizza congelada</c:v>
                  </c:pt>
                  <c:pt idx="70">
                    <c:v>Polpa de fruta</c:v>
                  </c:pt>
                  <c:pt idx="71">
                    <c:v>Presunto</c:v>
                  </c:pt>
                  <c:pt idx="72">
                    <c:v>Pudim</c:v>
                  </c:pt>
                  <c:pt idx="73">
                    <c:v>Queijo</c:v>
                  </c:pt>
                  <c:pt idx="74">
                    <c:v>Refrigerante</c:v>
                  </c:pt>
                  <c:pt idx="75">
                    <c:v>Repolho</c:v>
                  </c:pt>
                  <c:pt idx="76">
                    <c:v>Sabão em pó</c:v>
                  </c:pt>
                  <c:pt idx="77">
                    <c:v>Sabonete</c:v>
                  </c:pt>
                  <c:pt idx="78">
                    <c:v>Salsicha</c:v>
                  </c:pt>
                  <c:pt idx="80">
                    <c:v>Sardinha</c:v>
                  </c:pt>
                  <c:pt idx="81">
                    <c:v>Shoyu</c:v>
                  </c:pt>
                  <c:pt idx="83">
                    <c:v>Sorvete</c:v>
                  </c:pt>
                  <c:pt idx="85">
                    <c:v>Suco</c:v>
                  </c:pt>
                  <c:pt idx="86">
                    <c:v>Tomate</c:v>
                  </c:pt>
                  <c:pt idx="88">
                    <c:v>Uva</c:v>
                  </c:pt>
                  <c:pt idx="90">
                    <c:v>Whisky</c:v>
                  </c:pt>
                </c:lvl>
              </c:multiLvlStrCache>
            </c:multiLvlStrRef>
          </c:cat>
          <c:val>
            <c:numRef>
              <c:f>'Td2'!$B$4:$B$161</c:f>
              <c:numCache>
                <c:formatCode>General</c:formatCode>
                <c:ptCount val="91"/>
                <c:pt idx="0">
                  <c:v>18929</c:v>
                </c:pt>
                <c:pt idx="1">
                  <c:v>18929</c:v>
                </c:pt>
                <c:pt idx="2">
                  <c:v>12312</c:v>
                </c:pt>
                <c:pt idx="3">
                  <c:v>18929</c:v>
                </c:pt>
                <c:pt idx="4">
                  <c:v>18929</c:v>
                </c:pt>
                <c:pt idx="5">
                  <c:v>3123</c:v>
                </c:pt>
                <c:pt idx="6">
                  <c:v>18929</c:v>
                </c:pt>
                <c:pt idx="7">
                  <c:v>18929</c:v>
                </c:pt>
                <c:pt idx="8">
                  <c:v>18929</c:v>
                </c:pt>
                <c:pt idx="9">
                  <c:v>18929</c:v>
                </c:pt>
                <c:pt idx="10">
                  <c:v>18929</c:v>
                </c:pt>
                <c:pt idx="11">
                  <c:v>18929</c:v>
                </c:pt>
                <c:pt idx="12">
                  <c:v>3221</c:v>
                </c:pt>
                <c:pt idx="13">
                  <c:v>18929</c:v>
                </c:pt>
                <c:pt idx="14">
                  <c:v>18929</c:v>
                </c:pt>
                <c:pt idx="15">
                  <c:v>18929</c:v>
                </c:pt>
                <c:pt idx="16">
                  <c:v>18929</c:v>
                </c:pt>
                <c:pt idx="17">
                  <c:v>41232</c:v>
                </c:pt>
                <c:pt idx="18">
                  <c:v>18929</c:v>
                </c:pt>
                <c:pt idx="19">
                  <c:v>123123</c:v>
                </c:pt>
                <c:pt idx="20">
                  <c:v>31241</c:v>
                </c:pt>
                <c:pt idx="21">
                  <c:v>32223</c:v>
                </c:pt>
                <c:pt idx="22">
                  <c:v>31223</c:v>
                </c:pt>
                <c:pt idx="23">
                  <c:v>12312</c:v>
                </c:pt>
                <c:pt idx="24">
                  <c:v>4232</c:v>
                </c:pt>
                <c:pt idx="25">
                  <c:v>8468</c:v>
                </c:pt>
                <c:pt idx="26">
                  <c:v>18929</c:v>
                </c:pt>
                <c:pt idx="27">
                  <c:v>31232</c:v>
                </c:pt>
                <c:pt idx="28">
                  <c:v>18929</c:v>
                </c:pt>
                <c:pt idx="29">
                  <c:v>18929</c:v>
                </c:pt>
                <c:pt idx="30">
                  <c:v>1231</c:v>
                </c:pt>
                <c:pt idx="31">
                  <c:v>32123</c:v>
                </c:pt>
                <c:pt idx="32">
                  <c:v>1231</c:v>
                </c:pt>
                <c:pt idx="33">
                  <c:v>4123</c:v>
                </c:pt>
                <c:pt idx="34">
                  <c:v>3242</c:v>
                </c:pt>
                <c:pt idx="35">
                  <c:v>18929</c:v>
                </c:pt>
                <c:pt idx="36">
                  <c:v>269279</c:v>
                </c:pt>
                <c:pt idx="37">
                  <c:v>21123</c:v>
                </c:pt>
                <c:pt idx="38">
                  <c:v>18929</c:v>
                </c:pt>
                <c:pt idx="39">
                  <c:v>18929</c:v>
                </c:pt>
                <c:pt idx="40">
                  <c:v>22052</c:v>
                </c:pt>
                <c:pt idx="41">
                  <c:v>18929</c:v>
                </c:pt>
                <c:pt idx="42">
                  <c:v>18929</c:v>
                </c:pt>
                <c:pt idx="43">
                  <c:v>18929</c:v>
                </c:pt>
                <c:pt idx="44">
                  <c:v>18929</c:v>
                </c:pt>
                <c:pt idx="45">
                  <c:v>12312</c:v>
                </c:pt>
                <c:pt idx="46">
                  <c:v>18929</c:v>
                </c:pt>
                <c:pt idx="47">
                  <c:v>1323</c:v>
                </c:pt>
                <c:pt idx="48">
                  <c:v>32121</c:v>
                </c:pt>
                <c:pt idx="49">
                  <c:v>50160</c:v>
                </c:pt>
                <c:pt idx="50">
                  <c:v>23212</c:v>
                </c:pt>
                <c:pt idx="51">
                  <c:v>18929</c:v>
                </c:pt>
                <c:pt idx="52">
                  <c:v>18929</c:v>
                </c:pt>
                <c:pt idx="53">
                  <c:v>12124</c:v>
                </c:pt>
                <c:pt idx="54">
                  <c:v>18929</c:v>
                </c:pt>
                <c:pt idx="55">
                  <c:v>12323</c:v>
                </c:pt>
                <c:pt idx="56">
                  <c:v>18929</c:v>
                </c:pt>
                <c:pt idx="57">
                  <c:v>18929</c:v>
                </c:pt>
                <c:pt idx="58">
                  <c:v>18929</c:v>
                </c:pt>
                <c:pt idx="59">
                  <c:v>18929</c:v>
                </c:pt>
                <c:pt idx="60">
                  <c:v>412</c:v>
                </c:pt>
                <c:pt idx="61">
                  <c:v>37858</c:v>
                </c:pt>
                <c:pt idx="62">
                  <c:v>18929</c:v>
                </c:pt>
                <c:pt idx="63">
                  <c:v>40160</c:v>
                </c:pt>
                <c:pt idx="64">
                  <c:v>18929</c:v>
                </c:pt>
                <c:pt idx="65">
                  <c:v>423</c:v>
                </c:pt>
                <c:pt idx="66">
                  <c:v>18929</c:v>
                </c:pt>
                <c:pt idx="67">
                  <c:v>18929</c:v>
                </c:pt>
                <c:pt idx="68">
                  <c:v>432</c:v>
                </c:pt>
                <c:pt idx="69">
                  <c:v>18929</c:v>
                </c:pt>
                <c:pt idx="70">
                  <c:v>18929</c:v>
                </c:pt>
                <c:pt idx="71">
                  <c:v>53453</c:v>
                </c:pt>
                <c:pt idx="72">
                  <c:v>18929</c:v>
                </c:pt>
                <c:pt idx="73">
                  <c:v>53435</c:v>
                </c:pt>
                <c:pt idx="74">
                  <c:v>21231</c:v>
                </c:pt>
                <c:pt idx="75">
                  <c:v>21321</c:v>
                </c:pt>
                <c:pt idx="76">
                  <c:v>18929</c:v>
                </c:pt>
                <c:pt idx="77">
                  <c:v>18929</c:v>
                </c:pt>
                <c:pt idx="78">
                  <c:v>18929</c:v>
                </c:pt>
                <c:pt idx="79">
                  <c:v>21312</c:v>
                </c:pt>
                <c:pt idx="80">
                  <c:v>18929</c:v>
                </c:pt>
                <c:pt idx="81">
                  <c:v>123123</c:v>
                </c:pt>
                <c:pt idx="82">
                  <c:v>72382</c:v>
                </c:pt>
                <c:pt idx="83">
                  <c:v>18929</c:v>
                </c:pt>
                <c:pt idx="84">
                  <c:v>44323</c:v>
                </c:pt>
                <c:pt idx="85">
                  <c:v>53453</c:v>
                </c:pt>
                <c:pt idx="86">
                  <c:v>18929</c:v>
                </c:pt>
                <c:pt idx="87">
                  <c:v>123123</c:v>
                </c:pt>
                <c:pt idx="88">
                  <c:v>3124</c:v>
                </c:pt>
                <c:pt idx="89">
                  <c:v>543</c:v>
                </c:pt>
                <c:pt idx="90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1-4D1B-BC1B-C25D2DFF5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32683375"/>
        <c:axId val="1232690095"/>
        <c:axId val="0"/>
      </c:bar3DChart>
      <c:catAx>
        <c:axId val="123268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2690095"/>
        <c:crosses val="autoZero"/>
        <c:auto val="1"/>
        <c:lblAlgn val="ctr"/>
        <c:lblOffset val="100"/>
        <c:noMultiLvlLbl val="0"/>
      </c:catAx>
      <c:valAx>
        <c:axId val="123269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2683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.xlsm]Td3!Tabela dinâmica10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'Td3'!$B$3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'Td3'!$A$4:$A$76</c:f>
              <c:multiLvlStrCache>
                <c:ptCount val="67"/>
                <c:lvl>
                  <c:pt idx="0">
                    <c:v>Abacaxi</c:v>
                  </c:pt>
                  <c:pt idx="1">
                    <c:v>Açúcar</c:v>
                  </c:pt>
                  <c:pt idx="2">
                    <c:v>Alface</c:v>
                  </c:pt>
                  <c:pt idx="3">
                    <c:v>Aveia</c:v>
                  </c:pt>
                  <c:pt idx="4">
                    <c:v>Banana</c:v>
                  </c:pt>
                  <c:pt idx="5">
                    <c:v>Batata</c:v>
                  </c:pt>
                  <c:pt idx="6">
                    <c:v>Batata frita congelada</c:v>
                  </c:pt>
                  <c:pt idx="7">
                    <c:v>Biscoito</c:v>
                  </c:pt>
                  <c:pt idx="8">
                    <c:v>Bolacha</c:v>
                  </c:pt>
                  <c:pt idx="9">
                    <c:v>Carne bovina</c:v>
                  </c:pt>
                  <c:pt idx="10">
                    <c:v>Cebola</c:v>
                  </c:pt>
                  <c:pt idx="11">
                    <c:v>Coxinha</c:v>
                  </c:pt>
                  <c:pt idx="12">
                    <c:v>Creme de leite</c:v>
                  </c:pt>
                  <c:pt idx="13">
                    <c:v>Ervilha</c:v>
                  </c:pt>
                  <c:pt idx="14">
                    <c:v>Esfiha</c:v>
                  </c:pt>
                  <c:pt idx="15">
                    <c:v>Farofa</c:v>
                  </c:pt>
                  <c:pt idx="16">
                    <c:v>Frango</c:v>
                  </c:pt>
                  <c:pt idx="17">
                    <c:v>Gelatina</c:v>
                  </c:pt>
                  <c:pt idx="18">
                    <c:v>Granola</c:v>
                  </c:pt>
                  <c:pt idx="19">
                    <c:v>Grão de bico</c:v>
                  </c:pt>
                  <c:pt idx="20">
                    <c:v>Laranja</c:v>
                  </c:pt>
                  <c:pt idx="21">
                    <c:v>Leite condensado</c:v>
                  </c:pt>
                  <c:pt idx="22">
                    <c:v>Lentilha</c:v>
                  </c:pt>
                  <c:pt idx="23">
                    <c:v>Linguiça</c:v>
                  </c:pt>
                  <c:pt idx="24">
                    <c:v>Maçã</c:v>
                  </c:pt>
                  <c:pt idx="25">
                    <c:v>Macarrão</c:v>
                  </c:pt>
                  <c:pt idx="26">
                    <c:v>Maionese</c:v>
                  </c:pt>
                  <c:pt idx="27">
                    <c:v>Mamão</c:v>
                  </c:pt>
                  <c:pt idx="28">
                    <c:v>Molho de pimenta</c:v>
                  </c:pt>
                  <c:pt idx="29">
                    <c:v>Molho inglês</c:v>
                  </c:pt>
                  <c:pt idx="30">
                    <c:v>Mostarda</c:v>
                  </c:pt>
                  <c:pt idx="31">
                    <c:v>Pastel</c:v>
                  </c:pt>
                  <c:pt idx="32">
                    <c:v>Pimenta</c:v>
                  </c:pt>
                  <c:pt idx="33">
                    <c:v>Pizza congelada</c:v>
                  </c:pt>
                  <c:pt idx="34">
                    <c:v>Polpa de fruta</c:v>
                  </c:pt>
                  <c:pt idx="35">
                    <c:v>Presunto</c:v>
                  </c:pt>
                  <c:pt idx="36">
                    <c:v>Pudim</c:v>
                  </c:pt>
                  <c:pt idx="37">
                    <c:v>Queijo</c:v>
                  </c:pt>
                  <c:pt idx="38">
                    <c:v>Repolho</c:v>
                  </c:pt>
                  <c:pt idx="39">
                    <c:v>Salsicha</c:v>
                  </c:pt>
                  <c:pt idx="40">
                    <c:v>Sardinha</c:v>
                  </c:pt>
                  <c:pt idx="41">
                    <c:v>Shoyu</c:v>
                  </c:pt>
                  <c:pt idx="42">
                    <c:v>Tomate</c:v>
                  </c:pt>
                  <c:pt idx="43">
                    <c:v>Uva</c:v>
                  </c:pt>
                  <c:pt idx="44">
                    <c:v>Café</c:v>
                  </c:pt>
                  <c:pt idx="45">
                    <c:v>Chá</c:v>
                  </c:pt>
                  <c:pt idx="46">
                    <c:v>Iogurte</c:v>
                  </c:pt>
                  <c:pt idx="47">
                    <c:v>Leite</c:v>
                  </c:pt>
                  <c:pt idx="48">
                    <c:v>Peixe</c:v>
                  </c:pt>
                  <c:pt idx="49">
                    <c:v>Refrigerante</c:v>
                  </c:pt>
                  <c:pt idx="50">
                    <c:v>Salsicha</c:v>
                  </c:pt>
                  <c:pt idx="51">
                    <c:v>Sorvete</c:v>
                  </c:pt>
                  <c:pt idx="52">
                    <c:v>Suco</c:v>
                  </c:pt>
                  <c:pt idx="53">
                    <c:v>Álcool</c:v>
                  </c:pt>
                  <c:pt idx="54">
                    <c:v>Amaciante</c:v>
                  </c:pt>
                  <c:pt idx="55">
                    <c:v>Condicionador</c:v>
                  </c:pt>
                  <c:pt idx="56">
                    <c:v>Creme dental</c:v>
                  </c:pt>
                  <c:pt idx="57">
                    <c:v>Desinfetante</c:v>
                  </c:pt>
                  <c:pt idx="58">
                    <c:v>Detergente</c:v>
                  </c:pt>
                  <c:pt idx="59">
                    <c:v>Escova de dentes</c:v>
                  </c:pt>
                  <c:pt idx="60">
                    <c:v>Esponja</c:v>
                  </c:pt>
                  <c:pt idx="61">
                    <c:v>Papel higiênico</c:v>
                  </c:pt>
                  <c:pt idx="62">
                    <c:v>Pastilha</c:v>
                  </c:pt>
                  <c:pt idx="63">
                    <c:v>Sabão em pó</c:v>
                  </c:pt>
                  <c:pt idx="64">
                    <c:v>Sabonete</c:v>
                  </c:pt>
                  <c:pt idx="65">
                    <c:v>Whisky</c:v>
                  </c:pt>
                  <c:pt idx="66">
                    <c:v>Fósforo</c:v>
                  </c:pt>
                </c:lvl>
                <c:lvl>
                  <c:pt idx="0">
                    <c:v>Alimento</c:v>
                  </c:pt>
                  <c:pt idx="44">
                    <c:v>Bebida</c:v>
                  </c:pt>
                  <c:pt idx="53">
                    <c:v>Higiene</c:v>
                  </c:pt>
                  <c:pt idx="65">
                    <c:v>Limpeza</c:v>
                  </c:pt>
                  <c:pt idx="66">
                    <c:v>Temperos</c:v>
                  </c:pt>
                </c:lvl>
              </c:multiLvlStrCache>
            </c:multiLvlStrRef>
          </c:cat>
          <c:val>
            <c:numRef>
              <c:f>'Td3'!$B$4:$B$76</c:f>
              <c:numCache>
                <c:formatCode>General</c:formatCode>
                <c:ptCount val="67"/>
                <c:pt idx="0">
                  <c:v>18929</c:v>
                </c:pt>
                <c:pt idx="1">
                  <c:v>69099</c:v>
                </c:pt>
                <c:pt idx="2">
                  <c:v>37858</c:v>
                </c:pt>
                <c:pt idx="3">
                  <c:v>18929</c:v>
                </c:pt>
                <c:pt idx="4">
                  <c:v>18929</c:v>
                </c:pt>
                <c:pt idx="5">
                  <c:v>3221</c:v>
                </c:pt>
                <c:pt idx="6">
                  <c:v>18929</c:v>
                </c:pt>
                <c:pt idx="7">
                  <c:v>18929</c:v>
                </c:pt>
                <c:pt idx="8">
                  <c:v>37858</c:v>
                </c:pt>
                <c:pt idx="9">
                  <c:v>142052</c:v>
                </c:pt>
                <c:pt idx="10">
                  <c:v>31241</c:v>
                </c:pt>
                <c:pt idx="11">
                  <c:v>12700</c:v>
                </c:pt>
                <c:pt idx="12">
                  <c:v>18929</c:v>
                </c:pt>
                <c:pt idx="13">
                  <c:v>32123</c:v>
                </c:pt>
                <c:pt idx="14">
                  <c:v>7365</c:v>
                </c:pt>
                <c:pt idx="15">
                  <c:v>290402</c:v>
                </c:pt>
                <c:pt idx="16">
                  <c:v>40981</c:v>
                </c:pt>
                <c:pt idx="17">
                  <c:v>18929</c:v>
                </c:pt>
                <c:pt idx="18">
                  <c:v>18929</c:v>
                </c:pt>
                <c:pt idx="19">
                  <c:v>37858</c:v>
                </c:pt>
                <c:pt idx="20">
                  <c:v>1323</c:v>
                </c:pt>
                <c:pt idx="21">
                  <c:v>18929</c:v>
                </c:pt>
                <c:pt idx="22">
                  <c:v>18929</c:v>
                </c:pt>
                <c:pt idx="23">
                  <c:v>12124</c:v>
                </c:pt>
                <c:pt idx="24">
                  <c:v>18929</c:v>
                </c:pt>
                <c:pt idx="25">
                  <c:v>12323</c:v>
                </c:pt>
                <c:pt idx="26">
                  <c:v>18929</c:v>
                </c:pt>
                <c:pt idx="27">
                  <c:v>18929</c:v>
                </c:pt>
                <c:pt idx="28">
                  <c:v>18929</c:v>
                </c:pt>
                <c:pt idx="29">
                  <c:v>18929</c:v>
                </c:pt>
                <c:pt idx="30">
                  <c:v>38270</c:v>
                </c:pt>
                <c:pt idx="31">
                  <c:v>40160</c:v>
                </c:pt>
                <c:pt idx="32">
                  <c:v>432</c:v>
                </c:pt>
                <c:pt idx="33">
                  <c:v>18929</c:v>
                </c:pt>
                <c:pt idx="34">
                  <c:v>18929</c:v>
                </c:pt>
                <c:pt idx="35">
                  <c:v>53453</c:v>
                </c:pt>
                <c:pt idx="36">
                  <c:v>18929</c:v>
                </c:pt>
                <c:pt idx="37">
                  <c:v>53435</c:v>
                </c:pt>
                <c:pt idx="38">
                  <c:v>21321</c:v>
                </c:pt>
                <c:pt idx="39">
                  <c:v>18929</c:v>
                </c:pt>
                <c:pt idx="40">
                  <c:v>18929</c:v>
                </c:pt>
                <c:pt idx="41">
                  <c:v>195505</c:v>
                </c:pt>
                <c:pt idx="42">
                  <c:v>142052</c:v>
                </c:pt>
                <c:pt idx="43">
                  <c:v>3667</c:v>
                </c:pt>
                <c:pt idx="44">
                  <c:v>41232</c:v>
                </c:pt>
                <c:pt idx="45">
                  <c:v>63446</c:v>
                </c:pt>
                <c:pt idx="46">
                  <c:v>31241</c:v>
                </c:pt>
                <c:pt idx="47">
                  <c:v>105493</c:v>
                </c:pt>
                <c:pt idx="48">
                  <c:v>18929</c:v>
                </c:pt>
                <c:pt idx="49">
                  <c:v>21231</c:v>
                </c:pt>
                <c:pt idx="50">
                  <c:v>21312</c:v>
                </c:pt>
                <c:pt idx="51">
                  <c:v>63252</c:v>
                </c:pt>
                <c:pt idx="52">
                  <c:v>53453</c:v>
                </c:pt>
                <c:pt idx="53">
                  <c:v>3123</c:v>
                </c:pt>
                <c:pt idx="54">
                  <c:v>37858</c:v>
                </c:pt>
                <c:pt idx="55">
                  <c:v>12312</c:v>
                </c:pt>
                <c:pt idx="56">
                  <c:v>31232</c:v>
                </c:pt>
                <c:pt idx="57">
                  <c:v>18929</c:v>
                </c:pt>
                <c:pt idx="58">
                  <c:v>20160</c:v>
                </c:pt>
                <c:pt idx="59">
                  <c:v>1231</c:v>
                </c:pt>
                <c:pt idx="60">
                  <c:v>18929</c:v>
                </c:pt>
                <c:pt idx="61">
                  <c:v>18929</c:v>
                </c:pt>
                <c:pt idx="62">
                  <c:v>38281</c:v>
                </c:pt>
                <c:pt idx="63">
                  <c:v>18929</c:v>
                </c:pt>
                <c:pt idx="64">
                  <c:v>18929</c:v>
                </c:pt>
                <c:pt idx="65">
                  <c:v>18929</c:v>
                </c:pt>
                <c:pt idx="66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C-49EE-9949-63CE3C331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34134623"/>
        <c:axId val="1134133183"/>
        <c:axId val="0"/>
      </c:bar3DChart>
      <c:catAx>
        <c:axId val="113413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4133183"/>
        <c:crosses val="autoZero"/>
        <c:auto val="1"/>
        <c:lblAlgn val="ctr"/>
        <c:lblOffset val="100"/>
        <c:noMultiLvlLbl val="0"/>
      </c:catAx>
      <c:valAx>
        <c:axId val="113413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413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.xlsm]Td4!Tabela dinâmica11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8194070163845106E-3"/>
          <c:y val="3.2535120952944386E-3"/>
          <c:w val="0.97509799895009597"/>
          <c:h val="0.9310586127515099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'Td4'!$B$3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'Td4'!$A$4:$A$137</c:f>
              <c:multiLvlStrCache>
                <c:ptCount val="67"/>
                <c:lvl>
                  <c:pt idx="0">
                    <c:v>Alimento</c:v>
                  </c:pt>
                  <c:pt idx="1">
                    <c:v>Alimento</c:v>
                  </c:pt>
                  <c:pt idx="2">
                    <c:v>Higiene</c:v>
                  </c:pt>
                  <c:pt idx="3">
                    <c:v>Alimento</c:v>
                  </c:pt>
                  <c:pt idx="4">
                    <c:v>Higiene</c:v>
                  </c:pt>
                  <c:pt idx="5">
                    <c:v>Alimento</c:v>
                  </c:pt>
                  <c:pt idx="6">
                    <c:v>Alimento</c:v>
                  </c:pt>
                  <c:pt idx="7">
                    <c:v>Alimento</c:v>
                  </c:pt>
                  <c:pt idx="8">
                    <c:v>Alimento</c:v>
                  </c:pt>
                  <c:pt idx="9">
                    <c:v>Alimento</c:v>
                  </c:pt>
                  <c:pt idx="10">
                    <c:v>Alimento</c:v>
                  </c:pt>
                  <c:pt idx="11">
                    <c:v>Bebida</c:v>
                  </c:pt>
                  <c:pt idx="12">
                    <c:v>Alimento</c:v>
                  </c:pt>
                  <c:pt idx="13">
                    <c:v>Alimento</c:v>
                  </c:pt>
                  <c:pt idx="14">
                    <c:v>Bebida</c:v>
                  </c:pt>
                  <c:pt idx="15">
                    <c:v>Higiene</c:v>
                  </c:pt>
                  <c:pt idx="16">
                    <c:v>Alimento</c:v>
                  </c:pt>
                  <c:pt idx="17">
                    <c:v>Alimento</c:v>
                  </c:pt>
                  <c:pt idx="18">
                    <c:v>Higiene</c:v>
                  </c:pt>
                  <c:pt idx="19">
                    <c:v>Higiene</c:v>
                  </c:pt>
                  <c:pt idx="20">
                    <c:v>Higiene</c:v>
                  </c:pt>
                  <c:pt idx="21">
                    <c:v>Alimento</c:v>
                  </c:pt>
                  <c:pt idx="22">
                    <c:v>Higiene</c:v>
                  </c:pt>
                  <c:pt idx="23">
                    <c:v>Alimento</c:v>
                  </c:pt>
                  <c:pt idx="24">
                    <c:v>Higiene</c:v>
                  </c:pt>
                  <c:pt idx="25">
                    <c:v>Alimento</c:v>
                  </c:pt>
                  <c:pt idx="26">
                    <c:v>Temperos</c:v>
                  </c:pt>
                  <c:pt idx="27">
                    <c:v>Alimento</c:v>
                  </c:pt>
                  <c:pt idx="28">
                    <c:v>Alimento</c:v>
                  </c:pt>
                  <c:pt idx="29">
                    <c:v>Alimento</c:v>
                  </c:pt>
                  <c:pt idx="30">
                    <c:v>Alimento</c:v>
                  </c:pt>
                  <c:pt idx="31">
                    <c:v>Bebida</c:v>
                  </c:pt>
                  <c:pt idx="32">
                    <c:v>Alimento</c:v>
                  </c:pt>
                  <c:pt idx="33">
                    <c:v>Bebida</c:v>
                  </c:pt>
                  <c:pt idx="34">
                    <c:v>Alimento</c:v>
                  </c:pt>
                  <c:pt idx="35">
                    <c:v>Alimento</c:v>
                  </c:pt>
                  <c:pt idx="36">
                    <c:v>Alimento</c:v>
                  </c:pt>
                  <c:pt idx="37">
                    <c:v>Alimento</c:v>
                  </c:pt>
                  <c:pt idx="38">
                    <c:v>Alimento</c:v>
                  </c:pt>
                  <c:pt idx="39">
                    <c:v>Alimento</c:v>
                  </c:pt>
                  <c:pt idx="40">
                    <c:v>Alimento</c:v>
                  </c:pt>
                  <c:pt idx="41">
                    <c:v>Alimento</c:v>
                  </c:pt>
                  <c:pt idx="42">
                    <c:v>Alimento</c:v>
                  </c:pt>
                  <c:pt idx="43">
                    <c:v>Alimento</c:v>
                  </c:pt>
                  <c:pt idx="44">
                    <c:v>Higiene</c:v>
                  </c:pt>
                  <c:pt idx="45">
                    <c:v>Alimento</c:v>
                  </c:pt>
                  <c:pt idx="46">
                    <c:v>Higiene</c:v>
                  </c:pt>
                  <c:pt idx="47">
                    <c:v>Bebida</c:v>
                  </c:pt>
                  <c:pt idx="48">
                    <c:v>Alimento</c:v>
                  </c:pt>
                  <c:pt idx="49">
                    <c:v>Alimento</c:v>
                  </c:pt>
                  <c:pt idx="50">
                    <c:v>Alimento</c:v>
                  </c:pt>
                  <c:pt idx="51">
                    <c:v>Alimento</c:v>
                  </c:pt>
                  <c:pt idx="52">
                    <c:v>Alimento</c:v>
                  </c:pt>
                  <c:pt idx="53">
                    <c:v>Alimento</c:v>
                  </c:pt>
                  <c:pt idx="54">
                    <c:v>Bebida</c:v>
                  </c:pt>
                  <c:pt idx="55">
                    <c:v>Alimento</c:v>
                  </c:pt>
                  <c:pt idx="56">
                    <c:v>Higiene</c:v>
                  </c:pt>
                  <c:pt idx="57">
                    <c:v>Higiene</c:v>
                  </c:pt>
                  <c:pt idx="58">
                    <c:v>Alimento</c:v>
                  </c:pt>
                  <c:pt idx="59">
                    <c:v>Bebida</c:v>
                  </c:pt>
                  <c:pt idx="60">
                    <c:v>Alimento</c:v>
                  </c:pt>
                  <c:pt idx="61">
                    <c:v>Alimento</c:v>
                  </c:pt>
                  <c:pt idx="62">
                    <c:v>Bebida</c:v>
                  </c:pt>
                  <c:pt idx="63">
                    <c:v>Bebida</c:v>
                  </c:pt>
                  <c:pt idx="64">
                    <c:v>Alimento</c:v>
                  </c:pt>
                  <c:pt idx="65">
                    <c:v>Alimento</c:v>
                  </c:pt>
                  <c:pt idx="66">
                    <c:v>Limpeza</c:v>
                  </c:pt>
                </c:lvl>
                <c:lvl>
                  <c:pt idx="0">
                    <c:v>Abacaxi</c:v>
                  </c:pt>
                  <c:pt idx="1">
                    <c:v>Açúcar</c:v>
                  </c:pt>
                  <c:pt idx="2">
                    <c:v>Álcool</c:v>
                  </c:pt>
                  <c:pt idx="3">
                    <c:v>Alface</c:v>
                  </c:pt>
                  <c:pt idx="4">
                    <c:v>Amaciante</c:v>
                  </c:pt>
                  <c:pt idx="5">
                    <c:v>Aveia</c:v>
                  </c:pt>
                  <c:pt idx="6">
                    <c:v>Banana</c:v>
                  </c:pt>
                  <c:pt idx="7">
                    <c:v>Batata</c:v>
                  </c:pt>
                  <c:pt idx="8">
                    <c:v>Batata frita congelada</c:v>
                  </c:pt>
                  <c:pt idx="9">
                    <c:v>Biscoito</c:v>
                  </c:pt>
                  <c:pt idx="10">
                    <c:v>Bolacha</c:v>
                  </c:pt>
                  <c:pt idx="11">
                    <c:v>Café</c:v>
                  </c:pt>
                  <c:pt idx="12">
                    <c:v>Carne bovina</c:v>
                  </c:pt>
                  <c:pt idx="13">
                    <c:v>Cebola</c:v>
                  </c:pt>
                  <c:pt idx="14">
                    <c:v>Chá</c:v>
                  </c:pt>
                  <c:pt idx="15">
                    <c:v>Condicionador</c:v>
                  </c:pt>
                  <c:pt idx="16">
                    <c:v>Coxinha</c:v>
                  </c:pt>
                  <c:pt idx="17">
                    <c:v>Creme de leite</c:v>
                  </c:pt>
                  <c:pt idx="18">
                    <c:v>Creme dental</c:v>
                  </c:pt>
                  <c:pt idx="19">
                    <c:v>Desinfetante</c:v>
                  </c:pt>
                  <c:pt idx="20">
                    <c:v>Detergente</c:v>
                  </c:pt>
                  <c:pt idx="21">
                    <c:v>Ervilha</c:v>
                  </c:pt>
                  <c:pt idx="22">
                    <c:v>Escova de dentes</c:v>
                  </c:pt>
                  <c:pt idx="23">
                    <c:v>Esfiha</c:v>
                  </c:pt>
                  <c:pt idx="24">
                    <c:v>Esponja</c:v>
                  </c:pt>
                  <c:pt idx="25">
                    <c:v>Farofa</c:v>
                  </c:pt>
                  <c:pt idx="26">
                    <c:v>Fósforo</c:v>
                  </c:pt>
                  <c:pt idx="27">
                    <c:v>Frango</c:v>
                  </c:pt>
                  <c:pt idx="28">
                    <c:v>Gelatina</c:v>
                  </c:pt>
                  <c:pt idx="29">
                    <c:v>Granola</c:v>
                  </c:pt>
                  <c:pt idx="30">
                    <c:v>Grão de bico</c:v>
                  </c:pt>
                  <c:pt idx="31">
                    <c:v>Iogurte</c:v>
                  </c:pt>
                  <c:pt idx="32">
                    <c:v>Laranja</c:v>
                  </c:pt>
                  <c:pt idx="33">
                    <c:v>Leite</c:v>
                  </c:pt>
                  <c:pt idx="34">
                    <c:v>Leite condensado</c:v>
                  </c:pt>
                  <c:pt idx="35">
                    <c:v>Lentilha</c:v>
                  </c:pt>
                  <c:pt idx="36">
                    <c:v>Linguiça</c:v>
                  </c:pt>
                  <c:pt idx="37">
                    <c:v>Maçã</c:v>
                  </c:pt>
                  <c:pt idx="38">
                    <c:v>Macarrão</c:v>
                  </c:pt>
                  <c:pt idx="39">
                    <c:v>Maionese</c:v>
                  </c:pt>
                  <c:pt idx="40">
                    <c:v>Mamão</c:v>
                  </c:pt>
                  <c:pt idx="41">
                    <c:v>Molho de pimenta</c:v>
                  </c:pt>
                  <c:pt idx="42">
                    <c:v>Molho inglês</c:v>
                  </c:pt>
                  <c:pt idx="43">
                    <c:v>Mostarda</c:v>
                  </c:pt>
                  <c:pt idx="44">
                    <c:v>Papel higiênico</c:v>
                  </c:pt>
                  <c:pt idx="45">
                    <c:v>Pastel</c:v>
                  </c:pt>
                  <c:pt idx="46">
                    <c:v>Pastilha</c:v>
                  </c:pt>
                  <c:pt idx="47">
                    <c:v>Peixe</c:v>
                  </c:pt>
                  <c:pt idx="48">
                    <c:v>Pimenta</c:v>
                  </c:pt>
                  <c:pt idx="49">
                    <c:v>Pizza congelada</c:v>
                  </c:pt>
                  <c:pt idx="50">
                    <c:v>Polpa de fruta</c:v>
                  </c:pt>
                  <c:pt idx="51">
                    <c:v>Presunto</c:v>
                  </c:pt>
                  <c:pt idx="52">
                    <c:v>Pudim</c:v>
                  </c:pt>
                  <c:pt idx="53">
                    <c:v>Queijo</c:v>
                  </c:pt>
                  <c:pt idx="54">
                    <c:v>Refrigerante</c:v>
                  </c:pt>
                  <c:pt idx="55">
                    <c:v>Repolho</c:v>
                  </c:pt>
                  <c:pt idx="56">
                    <c:v>Sabão em pó</c:v>
                  </c:pt>
                  <c:pt idx="57">
                    <c:v>Sabonete</c:v>
                  </c:pt>
                  <c:pt idx="58">
                    <c:v>Salsicha</c:v>
                  </c:pt>
                  <c:pt idx="60">
                    <c:v>Sardinha</c:v>
                  </c:pt>
                  <c:pt idx="61">
                    <c:v>Shoyu</c:v>
                  </c:pt>
                  <c:pt idx="62">
                    <c:v>Sorvete</c:v>
                  </c:pt>
                  <c:pt idx="63">
                    <c:v>Suco</c:v>
                  </c:pt>
                  <c:pt idx="64">
                    <c:v>Tomate</c:v>
                  </c:pt>
                  <c:pt idx="65">
                    <c:v>Uva</c:v>
                  </c:pt>
                  <c:pt idx="66">
                    <c:v>Whisky</c:v>
                  </c:pt>
                </c:lvl>
              </c:multiLvlStrCache>
            </c:multiLvlStrRef>
          </c:cat>
          <c:val>
            <c:numRef>
              <c:f>'Td4'!$B$4:$B$137</c:f>
              <c:numCache>
                <c:formatCode>General</c:formatCode>
                <c:ptCount val="67"/>
                <c:pt idx="0">
                  <c:v>18929</c:v>
                </c:pt>
                <c:pt idx="1">
                  <c:v>69099</c:v>
                </c:pt>
                <c:pt idx="2">
                  <c:v>3123</c:v>
                </c:pt>
                <c:pt idx="3">
                  <c:v>37858</c:v>
                </c:pt>
                <c:pt idx="4">
                  <c:v>37858</c:v>
                </c:pt>
                <c:pt idx="5">
                  <c:v>18929</c:v>
                </c:pt>
                <c:pt idx="6">
                  <c:v>18929</c:v>
                </c:pt>
                <c:pt idx="7">
                  <c:v>3221</c:v>
                </c:pt>
                <c:pt idx="8">
                  <c:v>18929</c:v>
                </c:pt>
                <c:pt idx="9">
                  <c:v>18929</c:v>
                </c:pt>
                <c:pt idx="10">
                  <c:v>37858</c:v>
                </c:pt>
                <c:pt idx="11">
                  <c:v>41232</c:v>
                </c:pt>
                <c:pt idx="12">
                  <c:v>142052</c:v>
                </c:pt>
                <c:pt idx="13">
                  <c:v>31241</c:v>
                </c:pt>
                <c:pt idx="14">
                  <c:v>63446</c:v>
                </c:pt>
                <c:pt idx="15">
                  <c:v>12312</c:v>
                </c:pt>
                <c:pt idx="16">
                  <c:v>12700</c:v>
                </c:pt>
                <c:pt idx="17">
                  <c:v>18929</c:v>
                </c:pt>
                <c:pt idx="18">
                  <c:v>31232</c:v>
                </c:pt>
                <c:pt idx="19">
                  <c:v>18929</c:v>
                </c:pt>
                <c:pt idx="20">
                  <c:v>20160</c:v>
                </c:pt>
                <c:pt idx="21">
                  <c:v>32123</c:v>
                </c:pt>
                <c:pt idx="22">
                  <c:v>1231</c:v>
                </c:pt>
                <c:pt idx="23">
                  <c:v>7365</c:v>
                </c:pt>
                <c:pt idx="24">
                  <c:v>18929</c:v>
                </c:pt>
                <c:pt idx="25">
                  <c:v>290402</c:v>
                </c:pt>
                <c:pt idx="26">
                  <c:v>18929</c:v>
                </c:pt>
                <c:pt idx="27">
                  <c:v>40981</c:v>
                </c:pt>
                <c:pt idx="28">
                  <c:v>18929</c:v>
                </c:pt>
                <c:pt idx="29">
                  <c:v>18929</c:v>
                </c:pt>
                <c:pt idx="30">
                  <c:v>37858</c:v>
                </c:pt>
                <c:pt idx="31">
                  <c:v>31241</c:v>
                </c:pt>
                <c:pt idx="32">
                  <c:v>1323</c:v>
                </c:pt>
                <c:pt idx="33">
                  <c:v>105493</c:v>
                </c:pt>
                <c:pt idx="34">
                  <c:v>18929</c:v>
                </c:pt>
                <c:pt idx="35">
                  <c:v>18929</c:v>
                </c:pt>
                <c:pt idx="36">
                  <c:v>12124</c:v>
                </c:pt>
                <c:pt idx="37">
                  <c:v>18929</c:v>
                </c:pt>
                <c:pt idx="38">
                  <c:v>12323</c:v>
                </c:pt>
                <c:pt idx="39">
                  <c:v>18929</c:v>
                </c:pt>
                <c:pt idx="40">
                  <c:v>18929</c:v>
                </c:pt>
                <c:pt idx="41">
                  <c:v>18929</c:v>
                </c:pt>
                <c:pt idx="42">
                  <c:v>18929</c:v>
                </c:pt>
                <c:pt idx="43">
                  <c:v>38270</c:v>
                </c:pt>
                <c:pt idx="44">
                  <c:v>18929</c:v>
                </c:pt>
                <c:pt idx="45">
                  <c:v>40160</c:v>
                </c:pt>
                <c:pt idx="46">
                  <c:v>38281</c:v>
                </c:pt>
                <c:pt idx="47">
                  <c:v>18929</c:v>
                </c:pt>
                <c:pt idx="48">
                  <c:v>432</c:v>
                </c:pt>
                <c:pt idx="49">
                  <c:v>18929</c:v>
                </c:pt>
                <c:pt idx="50">
                  <c:v>18929</c:v>
                </c:pt>
                <c:pt idx="51">
                  <c:v>53453</c:v>
                </c:pt>
                <c:pt idx="52">
                  <c:v>18929</c:v>
                </c:pt>
                <c:pt idx="53">
                  <c:v>53435</c:v>
                </c:pt>
                <c:pt idx="54">
                  <c:v>21231</c:v>
                </c:pt>
                <c:pt idx="55">
                  <c:v>21321</c:v>
                </c:pt>
                <c:pt idx="56">
                  <c:v>18929</c:v>
                </c:pt>
                <c:pt idx="57">
                  <c:v>18929</c:v>
                </c:pt>
                <c:pt idx="58">
                  <c:v>18929</c:v>
                </c:pt>
                <c:pt idx="59">
                  <c:v>21312</c:v>
                </c:pt>
                <c:pt idx="60">
                  <c:v>18929</c:v>
                </c:pt>
                <c:pt idx="61">
                  <c:v>195505</c:v>
                </c:pt>
                <c:pt idx="62">
                  <c:v>63252</c:v>
                </c:pt>
                <c:pt idx="63">
                  <c:v>53453</c:v>
                </c:pt>
                <c:pt idx="64">
                  <c:v>142052</c:v>
                </c:pt>
                <c:pt idx="65">
                  <c:v>3667</c:v>
                </c:pt>
                <c:pt idx="66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1-BC89-0101BE4F8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76816511"/>
        <c:axId val="1276814111"/>
        <c:axId val="0"/>
      </c:bar3DChart>
      <c:catAx>
        <c:axId val="12768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814111"/>
        <c:crosses val="autoZero"/>
        <c:auto val="1"/>
        <c:lblAlgn val="ctr"/>
        <c:lblOffset val="100"/>
        <c:noMultiLvlLbl val="0"/>
      </c:catAx>
      <c:valAx>
        <c:axId val="127681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81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[Pão de açúcar - Excel - .xlsm]Td5!Tabela dinâmica12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'Td5'!$A$4:$A$162</c:f>
              <c:multiLvlStrCache>
                <c:ptCount val="91"/>
                <c:lvl>
                  <c:pt idx="0">
                    <c:v>Fornec Ltda</c:v>
                  </c:pt>
                  <c:pt idx="1">
                    <c:v>Atacadão Norte</c:v>
                  </c:pt>
                  <c:pt idx="2">
                    <c:v>Distribuidora Silva</c:v>
                  </c:pt>
                  <c:pt idx="3">
                    <c:v>Fornec Ltda</c:v>
                  </c:pt>
                  <c:pt idx="4">
                    <c:v>Sul Distribuidora</c:v>
                  </c:pt>
                  <c:pt idx="5">
                    <c:v>Sul Distribuidora</c:v>
                  </c:pt>
                  <c:pt idx="6">
                    <c:v>Atacadão Norte</c:v>
                  </c:pt>
                  <c:pt idx="7">
                    <c:v>Sul Distribuidora</c:v>
                  </c:pt>
                  <c:pt idx="8">
                    <c:v>Distribuidora Silva</c:v>
                  </c:pt>
                  <c:pt idx="9">
                    <c:v>Fornec Ltda</c:v>
                  </c:pt>
                  <c:pt idx="10">
                    <c:v>Atacadão Norte</c:v>
                  </c:pt>
                  <c:pt idx="11">
                    <c:v>Distribuidora Silva</c:v>
                  </c:pt>
                  <c:pt idx="12">
                    <c:v>Distribuidora Silva</c:v>
                  </c:pt>
                  <c:pt idx="13">
                    <c:v>Alimentos Brasil</c:v>
                  </c:pt>
                  <c:pt idx="14">
                    <c:v>Distribuidora Silva</c:v>
                  </c:pt>
                  <c:pt idx="15">
                    <c:v>Atacadão Norte</c:v>
                  </c:pt>
                  <c:pt idx="16">
                    <c:v>Fornec Ltda</c:v>
                  </c:pt>
                  <c:pt idx="17">
                    <c:v>Sul Distribuidora</c:v>
                  </c:pt>
                  <c:pt idx="18">
                    <c:v>Atacadão Norte</c:v>
                  </c:pt>
                  <c:pt idx="19">
                    <c:v>Distribuidora Silva</c:v>
                  </c:pt>
                  <c:pt idx="20">
                    <c:v>Fornec Ltda</c:v>
                  </c:pt>
                  <c:pt idx="21">
                    <c:v>Atacadão Norte</c:v>
                  </c:pt>
                  <c:pt idx="22">
                    <c:v>Sul Distribuidora</c:v>
                  </c:pt>
                  <c:pt idx="23">
                    <c:v>Sul Distribuidora</c:v>
                  </c:pt>
                  <c:pt idx="24">
                    <c:v>Distribuidora Silva</c:v>
                  </c:pt>
                  <c:pt idx="25">
                    <c:v>Sul Distribuidora</c:v>
                  </c:pt>
                  <c:pt idx="26">
                    <c:v>Sul Distribuidora</c:v>
                  </c:pt>
                  <c:pt idx="27">
                    <c:v>Alimentos Brasil</c:v>
                  </c:pt>
                  <c:pt idx="28">
                    <c:v>Distribuidora Silva</c:v>
                  </c:pt>
                  <c:pt idx="29">
                    <c:v>Distribuidora Silva</c:v>
                  </c:pt>
                  <c:pt idx="30">
                    <c:v>Fornec Ltda</c:v>
                  </c:pt>
                  <c:pt idx="31">
                    <c:v>Atacadão Norte</c:v>
                  </c:pt>
                  <c:pt idx="32">
                    <c:v>Distribuidora Silva</c:v>
                  </c:pt>
                  <c:pt idx="33">
                    <c:v>Atacadão Norte</c:v>
                  </c:pt>
                  <c:pt idx="34">
                    <c:v>Fornec Ltda</c:v>
                  </c:pt>
                  <c:pt idx="35">
                    <c:v>Alimentos Brasil</c:v>
                  </c:pt>
                  <c:pt idx="36">
                    <c:v>Distribuidora Silva</c:v>
                  </c:pt>
                  <c:pt idx="37">
                    <c:v>Sul Distribuidora</c:v>
                  </c:pt>
                  <c:pt idx="38">
                    <c:v>Sul Distribuidora</c:v>
                  </c:pt>
                  <c:pt idx="39">
                    <c:v>Distribuidora Silva</c:v>
                  </c:pt>
                  <c:pt idx="40">
                    <c:v>Fornec Ltda</c:v>
                  </c:pt>
                  <c:pt idx="41">
                    <c:v>Alimentos Brasil</c:v>
                  </c:pt>
                  <c:pt idx="42">
                    <c:v>Atacadão Norte</c:v>
                  </c:pt>
                  <c:pt idx="43">
                    <c:v>Distribuidora Silva</c:v>
                  </c:pt>
                  <c:pt idx="44">
                    <c:v>Fornec Ltda</c:v>
                  </c:pt>
                  <c:pt idx="45">
                    <c:v>Alimentos Brasil</c:v>
                  </c:pt>
                  <c:pt idx="46">
                    <c:v>Distribuidora Silva</c:v>
                  </c:pt>
                  <c:pt idx="47">
                    <c:v>Alimentos Brasil</c:v>
                  </c:pt>
                  <c:pt idx="48">
                    <c:v>Alimentos Brasil</c:v>
                  </c:pt>
                  <c:pt idx="49">
                    <c:v>Atacadão Norte</c:v>
                  </c:pt>
                  <c:pt idx="50">
                    <c:v>Distribuidora Silva</c:v>
                  </c:pt>
                  <c:pt idx="51">
                    <c:v>Sul Distribuidora</c:v>
                  </c:pt>
                  <c:pt idx="52">
                    <c:v>Fornec Ltda</c:v>
                  </c:pt>
                  <c:pt idx="53">
                    <c:v>Atacadão Norte</c:v>
                  </c:pt>
                  <c:pt idx="54">
                    <c:v>Distribuidora Silva</c:v>
                  </c:pt>
                  <c:pt idx="55">
                    <c:v>Fornec Ltda</c:v>
                  </c:pt>
                  <c:pt idx="56">
                    <c:v>Atacadão Norte</c:v>
                  </c:pt>
                  <c:pt idx="57">
                    <c:v>Fornec Ltda</c:v>
                  </c:pt>
                  <c:pt idx="58">
                    <c:v>Fornec Ltda</c:v>
                  </c:pt>
                  <c:pt idx="59">
                    <c:v>Sul Distribuidora</c:v>
                  </c:pt>
                  <c:pt idx="60">
                    <c:v>Distribuidora Silva</c:v>
                  </c:pt>
                  <c:pt idx="61">
                    <c:v>Fornec Ltda</c:v>
                  </c:pt>
                  <c:pt idx="62">
                    <c:v>Sul Distribuidora</c:v>
                  </c:pt>
                  <c:pt idx="63">
                    <c:v>Alimentos Brasil</c:v>
                  </c:pt>
                  <c:pt idx="64">
                    <c:v>Distribuidora Silva</c:v>
                  </c:pt>
                  <c:pt idx="65">
                    <c:v>Fornec Ltda</c:v>
                  </c:pt>
                  <c:pt idx="66">
                    <c:v>Sul Distribuidora</c:v>
                  </c:pt>
                  <c:pt idx="67">
                    <c:v>Fornec Ltda</c:v>
                  </c:pt>
                  <c:pt idx="68">
                    <c:v>Fornec Ltda</c:v>
                  </c:pt>
                  <c:pt idx="69">
                    <c:v>Sul Distribuidora</c:v>
                  </c:pt>
                  <c:pt idx="70">
                    <c:v>Atacadão Norte</c:v>
                  </c:pt>
                  <c:pt idx="71">
                    <c:v>Sul Distribuidora</c:v>
                  </c:pt>
                  <c:pt idx="72">
                    <c:v>Alimentos Brasil</c:v>
                  </c:pt>
                  <c:pt idx="73">
                    <c:v>Atacadão Norte</c:v>
                  </c:pt>
                  <c:pt idx="74">
                    <c:v>Fornec Ltda</c:v>
                  </c:pt>
                  <c:pt idx="75">
                    <c:v>Sul Distribuidora</c:v>
                  </c:pt>
                  <c:pt idx="76">
                    <c:v>Fornec Ltda</c:v>
                  </c:pt>
                  <c:pt idx="77">
                    <c:v>Distribuidora Silva</c:v>
                  </c:pt>
                  <c:pt idx="78">
                    <c:v>Atacadão Norte</c:v>
                  </c:pt>
                  <c:pt idx="79">
                    <c:v>Sul Distribuidora</c:v>
                  </c:pt>
                  <c:pt idx="80">
                    <c:v>Atacadão Norte</c:v>
                  </c:pt>
                  <c:pt idx="81">
                    <c:v>Alimentos Brasil</c:v>
                  </c:pt>
                  <c:pt idx="82">
                    <c:v>Distribuidora Silva</c:v>
                  </c:pt>
                  <c:pt idx="83">
                    <c:v>Alimentos Brasil</c:v>
                  </c:pt>
                  <c:pt idx="84">
                    <c:v>Sul Distribuidora</c:v>
                  </c:pt>
                  <c:pt idx="85">
                    <c:v>Distribuidora Silva</c:v>
                  </c:pt>
                  <c:pt idx="86">
                    <c:v>Atacadão Norte</c:v>
                  </c:pt>
                  <c:pt idx="87">
                    <c:v>Distribuidora Silva</c:v>
                  </c:pt>
                  <c:pt idx="88">
                    <c:v>Atacadão Norte</c:v>
                  </c:pt>
                  <c:pt idx="89">
                    <c:v>Fornec Ltda</c:v>
                  </c:pt>
                  <c:pt idx="90">
                    <c:v>Distribuidora Silva</c:v>
                  </c:pt>
                </c:lvl>
                <c:lvl>
                  <c:pt idx="0">
                    <c:v>Abacaxi</c:v>
                  </c:pt>
                  <c:pt idx="1">
                    <c:v>Açúcar</c:v>
                  </c:pt>
                  <c:pt idx="5">
                    <c:v>Álcool</c:v>
                  </c:pt>
                  <c:pt idx="6">
                    <c:v>Alface</c:v>
                  </c:pt>
                  <c:pt idx="8">
                    <c:v>Amaciante</c:v>
                  </c:pt>
                  <c:pt idx="10">
                    <c:v>Aveia</c:v>
                  </c:pt>
                  <c:pt idx="11">
                    <c:v>Banana</c:v>
                  </c:pt>
                  <c:pt idx="12">
                    <c:v>Batata</c:v>
                  </c:pt>
                  <c:pt idx="13">
                    <c:v>Batata frita congelada</c:v>
                  </c:pt>
                  <c:pt idx="14">
                    <c:v>Biscoito</c:v>
                  </c:pt>
                  <c:pt idx="15">
                    <c:v>Bolacha</c:v>
                  </c:pt>
                  <c:pt idx="17">
                    <c:v>Café</c:v>
                  </c:pt>
                  <c:pt idx="18">
                    <c:v>Carne bovina</c:v>
                  </c:pt>
                  <c:pt idx="20">
                    <c:v>Cebola</c:v>
                  </c:pt>
                  <c:pt idx="21">
                    <c:v>Chá</c:v>
                  </c:pt>
                  <c:pt idx="23">
                    <c:v>Condicionador</c:v>
                  </c:pt>
                  <c:pt idx="24">
                    <c:v>Coxinha</c:v>
                  </c:pt>
                  <c:pt idx="26">
                    <c:v>Creme de leite</c:v>
                  </c:pt>
                  <c:pt idx="27">
                    <c:v>Creme dental</c:v>
                  </c:pt>
                  <c:pt idx="28">
                    <c:v>Desinfetante</c:v>
                  </c:pt>
                  <c:pt idx="29">
                    <c:v>Detergente</c:v>
                  </c:pt>
                  <c:pt idx="31">
                    <c:v>Ervilha</c:v>
                  </c:pt>
                  <c:pt idx="32">
                    <c:v>Escova de dentes</c:v>
                  </c:pt>
                  <c:pt idx="33">
                    <c:v>Esfiha</c:v>
                  </c:pt>
                  <c:pt idx="35">
                    <c:v>Esponja</c:v>
                  </c:pt>
                  <c:pt idx="36">
                    <c:v>Farofa</c:v>
                  </c:pt>
                  <c:pt idx="38">
                    <c:v>Fósforo</c:v>
                  </c:pt>
                  <c:pt idx="39">
                    <c:v>Frango</c:v>
                  </c:pt>
                  <c:pt idx="41">
                    <c:v>Gelatina</c:v>
                  </c:pt>
                  <c:pt idx="42">
                    <c:v>Granola</c:v>
                  </c:pt>
                  <c:pt idx="43">
                    <c:v>Grão de bico</c:v>
                  </c:pt>
                  <c:pt idx="45">
                    <c:v>Iogurte</c:v>
                  </c:pt>
                  <c:pt idx="47">
                    <c:v>Laranja</c:v>
                  </c:pt>
                  <c:pt idx="48">
                    <c:v>Leite</c:v>
                  </c:pt>
                  <c:pt idx="51">
                    <c:v>Leite condensado</c:v>
                  </c:pt>
                  <c:pt idx="52">
                    <c:v>Lentilha</c:v>
                  </c:pt>
                  <c:pt idx="53">
                    <c:v>Linguiça</c:v>
                  </c:pt>
                  <c:pt idx="54">
                    <c:v>Maçã</c:v>
                  </c:pt>
                  <c:pt idx="55">
                    <c:v>Macarrão</c:v>
                  </c:pt>
                  <c:pt idx="56">
                    <c:v>Maionese</c:v>
                  </c:pt>
                  <c:pt idx="57">
                    <c:v>Mamão</c:v>
                  </c:pt>
                  <c:pt idx="58">
                    <c:v>Molho de pimenta</c:v>
                  </c:pt>
                  <c:pt idx="59">
                    <c:v>Molho inglês</c:v>
                  </c:pt>
                  <c:pt idx="60">
                    <c:v>Mostarda</c:v>
                  </c:pt>
                  <c:pt idx="62">
                    <c:v>Papel higiênico</c:v>
                  </c:pt>
                  <c:pt idx="63">
                    <c:v>Pastel</c:v>
                  </c:pt>
                  <c:pt idx="64">
                    <c:v>Pastilha</c:v>
                  </c:pt>
                  <c:pt idx="67">
                    <c:v>Peixe</c:v>
                  </c:pt>
                  <c:pt idx="68">
                    <c:v>Pimenta</c:v>
                  </c:pt>
                  <c:pt idx="69">
                    <c:v>Pizza congelada</c:v>
                  </c:pt>
                  <c:pt idx="70">
                    <c:v>Polpa de fruta</c:v>
                  </c:pt>
                  <c:pt idx="71">
                    <c:v>Presunto</c:v>
                  </c:pt>
                  <c:pt idx="72">
                    <c:v>Pudim</c:v>
                  </c:pt>
                  <c:pt idx="73">
                    <c:v>Queijo</c:v>
                  </c:pt>
                  <c:pt idx="74">
                    <c:v>Refrigerante</c:v>
                  </c:pt>
                  <c:pt idx="75">
                    <c:v>Repolho</c:v>
                  </c:pt>
                  <c:pt idx="76">
                    <c:v>Sabão em pó</c:v>
                  </c:pt>
                  <c:pt idx="77">
                    <c:v>Sabonete</c:v>
                  </c:pt>
                  <c:pt idx="78">
                    <c:v>Salsicha</c:v>
                  </c:pt>
                  <c:pt idx="80">
                    <c:v>Sardinha</c:v>
                  </c:pt>
                  <c:pt idx="81">
                    <c:v>Shoyu</c:v>
                  </c:pt>
                  <c:pt idx="83">
                    <c:v>Sorvete</c:v>
                  </c:pt>
                  <c:pt idx="85">
                    <c:v>Suco</c:v>
                  </c:pt>
                  <c:pt idx="86">
                    <c:v>Tomate</c:v>
                  </c:pt>
                  <c:pt idx="88">
                    <c:v>Uva</c:v>
                  </c:pt>
                  <c:pt idx="90">
                    <c:v>Whisky</c:v>
                  </c:pt>
                </c:lvl>
                <c:lvl>
                  <c:pt idx="0">
                    <c:v>17/09/2025</c:v>
                  </c:pt>
                </c:lvl>
              </c:multiLvlStrCache>
            </c:multiLvlStrRef>
          </c:cat>
          <c:val>
            <c:numRef>
              <c:f>'Td5'!$B$4:$B$162</c:f>
              <c:numCache>
                <c:formatCode>General</c:formatCode>
                <c:ptCount val="91"/>
                <c:pt idx="0">
                  <c:v>18929</c:v>
                </c:pt>
                <c:pt idx="1">
                  <c:v>18929</c:v>
                </c:pt>
                <c:pt idx="2">
                  <c:v>12312</c:v>
                </c:pt>
                <c:pt idx="3">
                  <c:v>18929</c:v>
                </c:pt>
                <c:pt idx="4">
                  <c:v>18929</c:v>
                </c:pt>
                <c:pt idx="5">
                  <c:v>3123</c:v>
                </c:pt>
                <c:pt idx="6">
                  <c:v>18929</c:v>
                </c:pt>
                <c:pt idx="7">
                  <c:v>18929</c:v>
                </c:pt>
                <c:pt idx="8">
                  <c:v>18929</c:v>
                </c:pt>
                <c:pt idx="9">
                  <c:v>18929</c:v>
                </c:pt>
                <c:pt idx="10">
                  <c:v>18929</c:v>
                </c:pt>
                <c:pt idx="11">
                  <c:v>18929</c:v>
                </c:pt>
                <c:pt idx="12">
                  <c:v>3221</c:v>
                </c:pt>
                <c:pt idx="13">
                  <c:v>18929</c:v>
                </c:pt>
                <c:pt idx="14">
                  <c:v>18929</c:v>
                </c:pt>
                <c:pt idx="15">
                  <c:v>18929</c:v>
                </c:pt>
                <c:pt idx="16">
                  <c:v>18929</c:v>
                </c:pt>
                <c:pt idx="17">
                  <c:v>41232</c:v>
                </c:pt>
                <c:pt idx="18">
                  <c:v>18929</c:v>
                </c:pt>
                <c:pt idx="19">
                  <c:v>123123</c:v>
                </c:pt>
                <c:pt idx="20">
                  <c:v>31241</c:v>
                </c:pt>
                <c:pt idx="21">
                  <c:v>32223</c:v>
                </c:pt>
                <c:pt idx="22">
                  <c:v>31223</c:v>
                </c:pt>
                <c:pt idx="23">
                  <c:v>12312</c:v>
                </c:pt>
                <c:pt idx="24">
                  <c:v>4232</c:v>
                </c:pt>
                <c:pt idx="25">
                  <c:v>8468</c:v>
                </c:pt>
                <c:pt idx="26">
                  <c:v>18929</c:v>
                </c:pt>
                <c:pt idx="27">
                  <c:v>31232</c:v>
                </c:pt>
                <c:pt idx="28">
                  <c:v>18929</c:v>
                </c:pt>
                <c:pt idx="29">
                  <c:v>18929</c:v>
                </c:pt>
                <c:pt idx="30">
                  <c:v>1231</c:v>
                </c:pt>
                <c:pt idx="31">
                  <c:v>32123</c:v>
                </c:pt>
                <c:pt idx="32">
                  <c:v>1231</c:v>
                </c:pt>
                <c:pt idx="33">
                  <c:v>4123</c:v>
                </c:pt>
                <c:pt idx="34">
                  <c:v>3242</c:v>
                </c:pt>
                <c:pt idx="35">
                  <c:v>18929</c:v>
                </c:pt>
                <c:pt idx="36">
                  <c:v>269279</c:v>
                </c:pt>
                <c:pt idx="37">
                  <c:v>21123</c:v>
                </c:pt>
                <c:pt idx="38">
                  <c:v>18929</c:v>
                </c:pt>
                <c:pt idx="39">
                  <c:v>18929</c:v>
                </c:pt>
                <c:pt idx="40">
                  <c:v>22052</c:v>
                </c:pt>
                <c:pt idx="41">
                  <c:v>18929</c:v>
                </c:pt>
                <c:pt idx="42">
                  <c:v>18929</c:v>
                </c:pt>
                <c:pt idx="43">
                  <c:v>18929</c:v>
                </c:pt>
                <c:pt idx="44">
                  <c:v>18929</c:v>
                </c:pt>
                <c:pt idx="45">
                  <c:v>12312</c:v>
                </c:pt>
                <c:pt idx="46">
                  <c:v>18929</c:v>
                </c:pt>
                <c:pt idx="47">
                  <c:v>1323</c:v>
                </c:pt>
                <c:pt idx="48">
                  <c:v>32121</c:v>
                </c:pt>
                <c:pt idx="49">
                  <c:v>50160</c:v>
                </c:pt>
                <c:pt idx="50">
                  <c:v>23212</c:v>
                </c:pt>
                <c:pt idx="51">
                  <c:v>18929</c:v>
                </c:pt>
                <c:pt idx="52">
                  <c:v>18929</c:v>
                </c:pt>
                <c:pt idx="53">
                  <c:v>12124</c:v>
                </c:pt>
                <c:pt idx="54">
                  <c:v>18929</c:v>
                </c:pt>
                <c:pt idx="55">
                  <c:v>12323</c:v>
                </c:pt>
                <c:pt idx="56">
                  <c:v>18929</c:v>
                </c:pt>
                <c:pt idx="57">
                  <c:v>18929</c:v>
                </c:pt>
                <c:pt idx="58">
                  <c:v>18929</c:v>
                </c:pt>
                <c:pt idx="59">
                  <c:v>18929</c:v>
                </c:pt>
                <c:pt idx="60">
                  <c:v>412</c:v>
                </c:pt>
                <c:pt idx="61">
                  <c:v>37858</c:v>
                </c:pt>
                <c:pt idx="62">
                  <c:v>18929</c:v>
                </c:pt>
                <c:pt idx="63">
                  <c:v>40160</c:v>
                </c:pt>
                <c:pt idx="64">
                  <c:v>18929</c:v>
                </c:pt>
                <c:pt idx="65">
                  <c:v>423</c:v>
                </c:pt>
                <c:pt idx="66">
                  <c:v>18929</c:v>
                </c:pt>
                <c:pt idx="67">
                  <c:v>18929</c:v>
                </c:pt>
                <c:pt idx="68">
                  <c:v>432</c:v>
                </c:pt>
                <c:pt idx="69">
                  <c:v>18929</c:v>
                </c:pt>
                <c:pt idx="70">
                  <c:v>18929</c:v>
                </c:pt>
                <c:pt idx="71">
                  <c:v>53453</c:v>
                </c:pt>
                <c:pt idx="72">
                  <c:v>18929</c:v>
                </c:pt>
                <c:pt idx="73">
                  <c:v>53435</c:v>
                </c:pt>
                <c:pt idx="74">
                  <c:v>21231</c:v>
                </c:pt>
                <c:pt idx="75">
                  <c:v>21321</c:v>
                </c:pt>
                <c:pt idx="76">
                  <c:v>18929</c:v>
                </c:pt>
                <c:pt idx="77">
                  <c:v>18929</c:v>
                </c:pt>
                <c:pt idx="78">
                  <c:v>18929</c:v>
                </c:pt>
                <c:pt idx="79">
                  <c:v>21312</c:v>
                </c:pt>
                <c:pt idx="80">
                  <c:v>18929</c:v>
                </c:pt>
                <c:pt idx="81">
                  <c:v>123123</c:v>
                </c:pt>
                <c:pt idx="82">
                  <c:v>72382</c:v>
                </c:pt>
                <c:pt idx="83">
                  <c:v>18929</c:v>
                </c:pt>
                <c:pt idx="84">
                  <c:v>44323</c:v>
                </c:pt>
                <c:pt idx="85">
                  <c:v>53453</c:v>
                </c:pt>
                <c:pt idx="86">
                  <c:v>18929</c:v>
                </c:pt>
                <c:pt idx="87">
                  <c:v>123123</c:v>
                </c:pt>
                <c:pt idx="88">
                  <c:v>3124</c:v>
                </c:pt>
                <c:pt idx="89">
                  <c:v>543</c:v>
                </c:pt>
                <c:pt idx="90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A-4A49-AE84-6A980351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6859647"/>
        <c:axId val="1136860127"/>
      </c:barChart>
      <c:catAx>
        <c:axId val="113685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860127"/>
        <c:crosses val="autoZero"/>
        <c:auto val="1"/>
        <c:lblAlgn val="ctr"/>
        <c:lblOffset val="100"/>
        <c:noMultiLvlLbl val="0"/>
      </c:catAx>
      <c:valAx>
        <c:axId val="113686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85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12851</xdr:colOff>
      <xdr:row>0</xdr:row>
      <xdr:rowOff>0</xdr:rowOff>
    </xdr:from>
    <xdr:to>
      <xdr:col>6</xdr:col>
      <xdr:colOff>577581</xdr:colOff>
      <xdr:row>7</xdr:row>
      <xdr:rowOff>231708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9EE378-D93E-4CC2-915D-CD12B71D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5750" y="0"/>
          <a:ext cx="2783852" cy="1579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0A1D85D2-03E2-4953-B363-CF224F4D34A3}"/>
            </a:ext>
          </a:extLst>
        </xdr:cNvPr>
        <xdr:cNvSpPr/>
      </xdr:nvSpPr>
      <xdr:spPr>
        <a:xfrm>
          <a:off x="4225538" y="229219"/>
          <a:ext cx="1125731" cy="1595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E13110ED-DFB7-4F81-929D-044145D47708}"/>
            </a:ext>
          </a:extLst>
        </xdr:cNvPr>
        <xdr:cNvSpPr/>
      </xdr:nvSpPr>
      <xdr:spPr>
        <a:xfrm>
          <a:off x="4215316" y="592253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661A8C22-B88F-4024-B3F8-D821A91AE19E}"/>
            </a:ext>
          </a:extLst>
        </xdr:cNvPr>
        <xdr:cNvSpPr/>
      </xdr:nvSpPr>
      <xdr:spPr>
        <a:xfrm>
          <a:off x="4213650" y="989044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1372753</xdr:colOff>
      <xdr:row>0</xdr:row>
      <xdr:rowOff>0</xdr:rowOff>
    </xdr:from>
    <xdr:to>
      <xdr:col>8</xdr:col>
      <xdr:colOff>11432</xdr:colOff>
      <xdr:row>9</xdr:row>
      <xdr:rowOff>164460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7DE66DD-0A58-457C-8BCE-218940C3D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1079" y="0"/>
          <a:ext cx="2895940" cy="187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6852</xdr:colOff>
      <xdr:row>3</xdr:row>
      <xdr:rowOff>13706</xdr:rowOff>
    </xdr:from>
    <xdr:to>
      <xdr:col>4</xdr:col>
      <xdr:colOff>20557</xdr:colOff>
      <xdr:row>4</xdr:row>
      <xdr:rowOff>13706</xdr:rowOff>
    </xdr:to>
    <xdr:sp macro="[0]!apagar_prod" textlink="">
      <xdr:nvSpPr>
        <xdr:cNvPr id="8" name="Retângulo 7">
          <a:extLst>
            <a:ext uri="{FF2B5EF4-FFF2-40B4-BE49-F238E27FC236}">
              <a16:creationId xmlns:a16="http://schemas.microsoft.com/office/drawing/2014/main" id="{5DBE0F34-DFB3-5FEF-5DBF-E08E08A08324}"/>
            </a:ext>
          </a:extLst>
        </xdr:cNvPr>
        <xdr:cNvSpPr/>
      </xdr:nvSpPr>
      <xdr:spPr>
        <a:xfrm>
          <a:off x="3563309" y="589318"/>
          <a:ext cx="1349946" cy="1918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1161365</xdr:colOff>
      <xdr:row>1</xdr:row>
      <xdr:rowOff>10141</xdr:rowOff>
    </xdr:from>
    <xdr:to>
      <xdr:col>4</xdr:col>
      <xdr:colOff>10142</xdr:colOff>
      <xdr:row>2</xdr:row>
      <xdr:rowOff>10141</xdr:rowOff>
    </xdr:to>
    <xdr:sp macro="[0]!Macro14" textlink="">
      <xdr:nvSpPr>
        <xdr:cNvPr id="10" name="Retângulo 9">
          <a:extLst>
            <a:ext uri="{FF2B5EF4-FFF2-40B4-BE49-F238E27FC236}">
              <a16:creationId xmlns:a16="http://schemas.microsoft.com/office/drawing/2014/main" id="{BAE5C630-C4DF-FBE0-8F88-ABB3555E7439}"/>
            </a:ext>
          </a:extLst>
        </xdr:cNvPr>
        <xdr:cNvSpPr/>
      </xdr:nvSpPr>
      <xdr:spPr>
        <a:xfrm>
          <a:off x="3552894" y="202012"/>
          <a:ext cx="1349946" cy="19187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185708</xdr:rowOff>
    </xdr:from>
    <xdr:to>
      <xdr:col>1</xdr:col>
      <xdr:colOff>6848929</xdr:colOff>
      <xdr:row>7</xdr:row>
      <xdr:rowOff>47925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A5E892A-D8E4-91B0-55CD-35A3E537E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208"/>
          <a:ext cx="6848929" cy="1005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2</xdr:col>
      <xdr:colOff>9071</xdr:colOff>
      <xdr:row>13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25D80FF-8B21-5EE6-B323-3335F2B7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0"/>
          <a:ext cx="12409714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176893</xdr:rowOff>
    </xdr:from>
    <xdr:to>
      <xdr:col>1</xdr:col>
      <xdr:colOff>12373347</xdr:colOff>
      <xdr:row>31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20AB1BA-2F2A-C218-E2E3-FE9A910D74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34393"/>
          <a:ext cx="12373347" cy="2871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12374471</xdr:colOff>
      <xdr:row>47</xdr:row>
      <xdr:rowOff>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6D6B23B-1362-8546-3D41-AAB3EB7EF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12374471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2</xdr:col>
      <xdr:colOff>18774</xdr:colOff>
      <xdr:row>70</xdr:row>
      <xdr:rowOff>113008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1565080A-06BD-4D65-8FF0-0DC6097DD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92712"/>
          <a:ext cx="12417418" cy="4181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12393446</xdr:colOff>
      <xdr:row>93</xdr:row>
      <xdr:rowOff>104936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83A9F22-BBD9-DFC7-A340-DE4B626D2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948475"/>
          <a:ext cx="12393446" cy="4173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2</xdr:col>
      <xdr:colOff>128754</xdr:colOff>
      <xdr:row>107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99152F88-861A-458D-2FC8-44AE7FBE2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04237"/>
          <a:ext cx="12527398" cy="2324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2</xdr:col>
      <xdr:colOff>18478</xdr:colOff>
      <xdr:row>113</xdr:row>
      <xdr:rowOff>80720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3367F69A-594A-72D8-7024-501890DF1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16441"/>
          <a:ext cx="12417122" cy="855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1</xdr:col>
      <xdr:colOff>12394164</xdr:colOff>
      <xdr:row>128</xdr:row>
      <xdr:rowOff>16144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EC0B7F42-E737-77DE-93B9-5A1A106C2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78814"/>
          <a:ext cx="12394164" cy="25346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2</xdr:col>
      <xdr:colOff>25107</xdr:colOff>
      <xdr:row>134</xdr:row>
      <xdr:rowOff>96864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DA8CCCCB-9996-AAC7-3C9C-267B94B64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184746"/>
          <a:ext cx="12423751" cy="871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303070</xdr:colOff>
      <xdr:row>7</xdr:row>
      <xdr:rowOff>24852</xdr:rowOff>
    </xdr:from>
    <xdr:to>
      <xdr:col>91</xdr:col>
      <xdr:colOff>285750</xdr:colOff>
      <xdr:row>262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6A3AE08-9A5C-21C5-D889-DF2402F49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115</xdr:row>
      <xdr:rowOff>63501</xdr:rowOff>
    </xdr:from>
    <xdr:to>
      <xdr:col>122</xdr:col>
      <xdr:colOff>317500</xdr:colOff>
      <xdr:row>263</xdr:row>
      <xdr:rowOff>127001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1A7389C-45DE-D236-FC8F-51A9A8845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201490</xdr:colOff>
      <xdr:row>10</xdr:row>
      <xdr:rowOff>52387</xdr:rowOff>
    </xdr:from>
    <xdr:to>
      <xdr:col>24</xdr:col>
      <xdr:colOff>421297</xdr:colOff>
      <xdr:row>52</xdr:row>
      <xdr:rowOff>164856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F98CCC-B4C0-1548-CA28-395065ECD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498137</xdr:colOff>
      <xdr:row>27</xdr:row>
      <xdr:rowOff>90715</xdr:rowOff>
    </xdr:from>
    <xdr:to>
      <xdr:col>98</xdr:col>
      <xdr:colOff>136071</xdr:colOff>
      <xdr:row>137</xdr:row>
      <xdr:rowOff>6280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0C7A91-A0E9-6CCA-05EA-C72015F3E1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151847</xdr:colOff>
      <xdr:row>106</xdr:row>
      <xdr:rowOff>0</xdr:rowOff>
    </xdr:from>
    <xdr:to>
      <xdr:col>111</xdr:col>
      <xdr:colOff>259772</xdr:colOff>
      <xdr:row>204</xdr:row>
      <xdr:rowOff>165653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B0B1BFA-9485-7363-B036-788510463D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9431</xdr:colOff>
      <xdr:row>1</xdr:row>
      <xdr:rowOff>181728</xdr:rowOff>
    </xdr:from>
    <xdr:to>
      <xdr:col>5</xdr:col>
      <xdr:colOff>18800</xdr:colOff>
      <xdr:row>2</xdr:row>
      <xdr:rowOff>160322</xdr:rowOff>
    </xdr:to>
    <xdr:sp macro="[0]!Inserir_saida" textlink="">
      <xdr:nvSpPr>
        <xdr:cNvPr id="2" name="Retângulo 1">
          <a:extLst>
            <a:ext uri="{FF2B5EF4-FFF2-40B4-BE49-F238E27FC236}">
              <a16:creationId xmlns:a16="http://schemas.microsoft.com/office/drawing/2014/main" id="{A5022E19-9766-53E4-02F9-B3E1AC9FADC3}"/>
            </a:ext>
          </a:extLst>
        </xdr:cNvPr>
        <xdr:cNvSpPr/>
      </xdr:nvSpPr>
      <xdr:spPr>
        <a:xfrm>
          <a:off x="3989183" y="370342"/>
          <a:ext cx="810978" cy="16720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12532</xdr:colOff>
      <xdr:row>4</xdr:row>
      <xdr:rowOff>2005</xdr:rowOff>
    </xdr:from>
    <xdr:to>
      <xdr:col>5</xdr:col>
      <xdr:colOff>2004</xdr:colOff>
      <xdr:row>4</xdr:row>
      <xdr:rowOff>177466</xdr:rowOff>
    </xdr:to>
    <xdr:sp macro="[0]!Excluir_Saida" textlink="">
      <xdr:nvSpPr>
        <xdr:cNvPr id="3" name="Retângulo 2">
          <a:extLst>
            <a:ext uri="{FF2B5EF4-FFF2-40B4-BE49-F238E27FC236}">
              <a16:creationId xmlns:a16="http://schemas.microsoft.com/office/drawing/2014/main" id="{2280805D-E909-1700-2B3E-50C144087138}"/>
            </a:ext>
          </a:extLst>
        </xdr:cNvPr>
        <xdr:cNvSpPr/>
      </xdr:nvSpPr>
      <xdr:spPr>
        <a:xfrm>
          <a:off x="3835065" y="753979"/>
          <a:ext cx="791577" cy="175461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25066</xdr:colOff>
      <xdr:row>6</xdr:row>
      <xdr:rowOff>6266</xdr:rowOff>
    </xdr:from>
    <xdr:to>
      <xdr:col>5</xdr:col>
      <xdr:colOff>6267</xdr:colOff>
      <xdr:row>7</xdr:row>
      <xdr:rowOff>12533</xdr:rowOff>
    </xdr:to>
    <xdr:sp macro="[0]!Limpar_saida" textlink="">
      <xdr:nvSpPr>
        <xdr:cNvPr id="5" name="Retângulo 4">
          <a:extLst>
            <a:ext uri="{FF2B5EF4-FFF2-40B4-BE49-F238E27FC236}">
              <a16:creationId xmlns:a16="http://schemas.microsoft.com/office/drawing/2014/main" id="{E275E5A2-4E62-FDF9-4352-0978B705C5C5}"/>
            </a:ext>
          </a:extLst>
        </xdr:cNvPr>
        <xdr:cNvSpPr/>
      </xdr:nvSpPr>
      <xdr:spPr>
        <a:xfrm>
          <a:off x="3314951" y="1134227"/>
          <a:ext cx="589046" cy="1942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669579</xdr:colOff>
      <xdr:row>0</xdr:row>
      <xdr:rowOff>0</xdr:rowOff>
    </xdr:from>
    <xdr:to>
      <xdr:col>8</xdr:col>
      <xdr:colOff>330075</xdr:colOff>
      <xdr:row>8</xdr:row>
      <xdr:rowOff>89586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0031534-200A-40B1-A021-500F84001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3935" y="0"/>
          <a:ext cx="2829209" cy="1598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21509</xdr:colOff>
      <xdr:row>0</xdr:row>
      <xdr:rowOff>95251</xdr:rowOff>
    </xdr:from>
    <xdr:to>
      <xdr:col>11</xdr:col>
      <xdr:colOff>588818</xdr:colOff>
      <xdr:row>11</xdr:row>
      <xdr:rowOff>32608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02845ED-057C-5129-7D48-7E3100F23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35577" y="95251"/>
          <a:ext cx="3597991" cy="2032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964A8791-D01E-EA8E-1121-034B5A8081D5}"/>
            </a:ext>
          </a:extLst>
        </xdr:cNvPr>
        <xdr:cNvSpPr/>
      </xdr:nvSpPr>
      <xdr:spPr>
        <a:xfrm>
          <a:off x="2849756" y="232317"/>
          <a:ext cx="735671" cy="16262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65F83E45-1F40-8BB6-1952-CC0BE21707DD}"/>
            </a:ext>
          </a:extLst>
        </xdr:cNvPr>
        <xdr:cNvSpPr/>
      </xdr:nvSpPr>
      <xdr:spPr>
        <a:xfrm>
          <a:off x="3788954" y="589096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C036EE31-D2D6-FE8A-3C79-ADBCECCD1D5F}"/>
            </a:ext>
          </a:extLst>
        </xdr:cNvPr>
        <xdr:cNvSpPr/>
      </xdr:nvSpPr>
      <xdr:spPr>
        <a:xfrm>
          <a:off x="3787288" y="983782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428354</xdr:colOff>
      <xdr:row>0</xdr:row>
      <xdr:rowOff>0</xdr:rowOff>
    </xdr:from>
    <xdr:to>
      <xdr:col>12</xdr:col>
      <xdr:colOff>524638</xdr:colOff>
      <xdr:row>43</xdr:row>
      <xdr:rowOff>67828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A798996-9EDB-1169-BEAD-74D207B9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354" y="0"/>
          <a:ext cx="7393403" cy="81667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6184</xdr:colOff>
      <xdr:row>0</xdr:row>
      <xdr:rowOff>0</xdr:rowOff>
    </xdr:from>
    <xdr:to>
      <xdr:col>60</xdr:col>
      <xdr:colOff>57727</xdr:colOff>
      <xdr:row>105</xdr:row>
      <xdr:rowOff>115453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2ECFE4-BA1E-42EA-AB5E-92C46F1A1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259772</xdr:colOff>
      <xdr:row>0</xdr:row>
      <xdr:rowOff>0</xdr:rowOff>
    </xdr:from>
    <xdr:to>
      <xdr:col>105</xdr:col>
      <xdr:colOff>-1</xdr:colOff>
      <xdr:row>176</xdr:row>
      <xdr:rowOff>43294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8BEE7-80B0-6BB5-6E40-798600367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372552</xdr:colOff>
      <xdr:row>7</xdr:row>
      <xdr:rowOff>82826</xdr:rowOff>
    </xdr:from>
    <xdr:to>
      <xdr:col>39</xdr:col>
      <xdr:colOff>414130</xdr:colOff>
      <xdr:row>72</xdr:row>
      <xdr:rowOff>62120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6781B8-09A3-982D-EF12-C23461286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136525</xdr:colOff>
      <xdr:row>2</xdr:row>
      <xdr:rowOff>86591</xdr:rowOff>
    </xdr:from>
    <xdr:to>
      <xdr:col>79</xdr:col>
      <xdr:colOff>584489</xdr:colOff>
      <xdr:row>137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7D4D28B-793D-4673-EC5C-753F95613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492792</xdr:colOff>
      <xdr:row>4</xdr:row>
      <xdr:rowOff>128790</xdr:rowOff>
    </xdr:from>
    <xdr:to>
      <xdr:col>75</xdr:col>
      <xdr:colOff>494153</xdr:colOff>
      <xdr:row>123</xdr:row>
      <xdr:rowOff>36763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F7447A-CADE-F451-E1B6-42AAAA41E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805274</xdr:colOff>
      <xdr:row>3</xdr:row>
      <xdr:rowOff>228</xdr:rowOff>
    </xdr:from>
    <xdr:to>
      <xdr:col>3</xdr:col>
      <xdr:colOff>778</xdr:colOff>
      <xdr:row>4</xdr:row>
      <xdr:rowOff>22553</xdr:rowOff>
    </xdr:to>
    <xdr:sp macro="[0]!Inserir_entrada" textlink="">
      <xdr:nvSpPr>
        <xdr:cNvPr id="2" name="Retângulo 1">
          <a:extLst>
            <a:ext uri="{FF2B5EF4-FFF2-40B4-BE49-F238E27FC236}">
              <a16:creationId xmlns:a16="http://schemas.microsoft.com/office/drawing/2014/main" id="{D38AE517-0E77-AEBE-6394-0FF4488DD876}"/>
            </a:ext>
          </a:extLst>
        </xdr:cNvPr>
        <xdr:cNvSpPr/>
      </xdr:nvSpPr>
      <xdr:spPr>
        <a:xfrm>
          <a:off x="5091524" y="571728"/>
          <a:ext cx="675542" cy="2128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794993</xdr:colOff>
      <xdr:row>4</xdr:row>
      <xdr:rowOff>189492</xdr:rowOff>
    </xdr:from>
    <xdr:to>
      <xdr:col>2</xdr:col>
      <xdr:colOff>1454417</xdr:colOff>
      <xdr:row>5</xdr:row>
      <xdr:rowOff>211816</xdr:rowOff>
    </xdr:to>
    <xdr:sp macro="[0]!Apagar_entrada" textlink="">
      <xdr:nvSpPr>
        <xdr:cNvPr id="3" name="Retângulo 2">
          <a:extLst>
            <a:ext uri="{FF2B5EF4-FFF2-40B4-BE49-F238E27FC236}">
              <a16:creationId xmlns:a16="http://schemas.microsoft.com/office/drawing/2014/main" id="{A28A0AA7-740F-4C15-85A9-E8914E766F2D}"/>
            </a:ext>
          </a:extLst>
        </xdr:cNvPr>
        <xdr:cNvSpPr/>
      </xdr:nvSpPr>
      <xdr:spPr>
        <a:xfrm>
          <a:off x="5081243" y="951492"/>
          <a:ext cx="659424" cy="212824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770354</xdr:colOff>
      <xdr:row>1</xdr:row>
      <xdr:rowOff>12051</xdr:rowOff>
    </xdr:from>
    <xdr:to>
      <xdr:col>2</xdr:col>
      <xdr:colOff>1408686</xdr:colOff>
      <xdr:row>2</xdr:row>
      <xdr:rowOff>3148</xdr:rowOff>
    </xdr:to>
    <xdr:sp macro="[0]!Limpar_entrada" textlink="">
      <xdr:nvSpPr>
        <xdr:cNvPr id="4" name="Retângulo 3">
          <a:extLst>
            <a:ext uri="{FF2B5EF4-FFF2-40B4-BE49-F238E27FC236}">
              <a16:creationId xmlns:a16="http://schemas.microsoft.com/office/drawing/2014/main" id="{622C1325-D9CB-2AFF-19FD-8C50B751CD6A}"/>
            </a:ext>
          </a:extLst>
        </xdr:cNvPr>
        <xdr:cNvSpPr/>
      </xdr:nvSpPr>
      <xdr:spPr>
        <a:xfrm>
          <a:off x="5056604" y="202551"/>
          <a:ext cx="638332" cy="18159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7559</xdr:colOff>
      <xdr:row>0</xdr:row>
      <xdr:rowOff>52918</xdr:rowOff>
    </xdr:from>
    <xdr:to>
      <xdr:col>5</xdr:col>
      <xdr:colOff>1587500</xdr:colOff>
      <xdr:row>7</xdr:row>
      <xdr:rowOff>181429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0C8DC05-C96E-45BB-8035-7547A6740E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0178" y="52918"/>
          <a:ext cx="2562679" cy="150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rton junior" refreshedDate="45917.858177199072" createdVersion="8" refreshedVersion="8" minRefreshableVersion="3" recordCount="100" xr:uid="{4345AB5E-B33F-4E93-BE44-258592D10962}">
  <cacheSource type="worksheet">
    <worksheetSource ref="A9:G109" sheet="Entrada"/>
  </cacheSource>
  <cacheFields count="7">
    <cacheField name="Data" numFmtId="14">
      <sharedItems containsSemiMixedTypes="0" containsNonDate="0" containsDate="1" containsString="0" minDate="2025-09-17T00:00:00" maxDate="2025-09-18T00:00:00" count="1">
        <d v="2025-09-17T00:00:00"/>
      </sharedItems>
    </cacheField>
    <cacheField name="ID" numFmtId="0">
      <sharedItems containsSemiMixedTypes="0" containsString="0" containsNumber="1" containsInteger="1" minValue="1" maxValue="100"/>
    </cacheField>
    <cacheField name="Produto" numFmtId="0">
      <sharedItems count="66">
        <s v="Farofa"/>
        <s v="Tomate"/>
        <s v="Shoyu"/>
        <s v="Carne bovina"/>
        <s v="Suco"/>
        <s v="Presunto"/>
        <s v="Queijo"/>
        <s v="Sorvete"/>
        <s v="Café"/>
        <s v="Chá"/>
        <s v="Ervilha"/>
        <s v="Leite"/>
        <s v="Creme dental"/>
        <s v="Repolho"/>
        <s v="Salsicha"/>
        <s v="Pastel"/>
        <s v="Refrigerante"/>
        <s v="Bolacha"/>
        <s v="Abacaxi"/>
        <s v="Mamão"/>
        <s v="Açúcar"/>
        <s v="Pizza congelada"/>
        <s v="Molho inglês"/>
        <s v="Polpa de fruta"/>
        <s v="Frango"/>
        <s v="Sabão em pó"/>
        <s v="Sardinha"/>
        <s v="Iogurte"/>
        <s v="Grão de bico"/>
        <s v="Creme de leite"/>
        <s v="Banana"/>
        <s v="Maçã"/>
        <s v="Detergente"/>
        <s v="Cebola"/>
        <s v="Papel higiênico"/>
        <s v="Maionese"/>
        <s v="Lentilha"/>
        <s v="Pudim"/>
        <s v="Granola"/>
        <s v="Batata frita congelada"/>
        <s v="Amaciante"/>
        <s v="Gelatina"/>
        <s v="Molho de pimenta"/>
        <s v="Alface"/>
        <s v="Aveia"/>
        <s v="Whisky"/>
        <s v="Fósforo"/>
        <s v="Desinfetante"/>
        <s v="Mostarda"/>
        <s v="Esponja"/>
        <s v="Sabonete"/>
        <s v="Pastilha"/>
        <s v="Leite condensado"/>
        <s v="Peixe"/>
        <s v="Biscoito"/>
        <s v="Macarrão"/>
        <s v="Condicionador"/>
        <s v="Linguiça"/>
        <s v="Coxinha"/>
        <s v="Esfiha"/>
        <s v="Batata"/>
        <s v="Uva"/>
        <s v="Álcool"/>
        <s v="Laranja"/>
        <s v="Escova de dentes"/>
        <s v="Pimenta"/>
      </sharedItems>
    </cacheField>
    <cacheField name="Tipo" numFmtId="0">
      <sharedItems count="5">
        <s v="Alimento"/>
        <s v="Bebida"/>
        <s v="Higiene"/>
        <s v="Limpeza"/>
        <s v="Temperos"/>
      </sharedItems>
    </cacheField>
    <cacheField name="Qtde" numFmtId="0">
      <sharedItems containsSemiMixedTypes="0" containsString="0" containsNumber="1" containsInteger="1" minValue="412" maxValue="231421"/>
    </cacheField>
    <cacheField name="Nome da Empresa" numFmtId="0">
      <sharedItems/>
    </cacheField>
    <cacheField name="Fornecedor Responsável" numFmtId="0">
      <sharedItems count="5">
        <s v="Distribuidora Silva"/>
        <s v="Alimentos Brasil"/>
        <s v="Sul Distribuidora"/>
        <s v="Atacadão Norte"/>
        <s v="Fornec Lt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rton junior" refreshedDate="45917.882535416669" createdVersion="8" refreshedVersion="8" minRefreshableVersion="3" recordCount="200" xr:uid="{145DC08D-CBB8-44F2-84EC-BDAF1BC090C4}">
  <cacheSource type="worksheet">
    <worksheetSource ref="A10:H210" sheet="Saída"/>
  </cacheSource>
  <cacheFields count="11">
    <cacheField name="NFS" numFmtId="0">
      <sharedItems containsSemiMixedTypes="0" containsString="0" containsNumber="1" containsInteger="1" minValue="1000" maxValue="1199"/>
    </cacheField>
    <cacheField name="Data" numFmtId="14">
      <sharedItems containsSemiMixedTypes="0" containsNonDate="0" containsDate="1" containsString="0" minDate="2025-09-17T00:00:00" maxDate="2026-04-05T00:00:00" count="200">
        <d v="2025-09-25T00:00:00"/>
        <d v="2025-09-30T00:00:00"/>
        <d v="2025-10-02T00:00:00"/>
        <d v="2025-11-04T00:00:00"/>
        <d v="2025-11-10T00:00:00"/>
        <d v="2025-11-05T00:00:00"/>
        <d v="2025-11-01T00:00:00"/>
        <d v="2025-10-27T00:00:00"/>
        <d v="2025-11-06T00:00:00"/>
        <d v="2025-09-21T00:00:00"/>
        <d v="2025-10-01T00:00:00"/>
        <d v="2025-11-16T00:00:00"/>
        <d v="2025-09-28T00:00:00"/>
        <d v="2025-09-18T00:00:00"/>
        <d v="2025-10-28T00:00:00"/>
        <d v="2025-11-27T00:00:00"/>
        <d v="2025-10-03T00:00:00"/>
        <d v="2025-09-29T00:00:00"/>
        <d v="2025-11-26T00:00:00"/>
        <d v="2025-10-31T00:00:00"/>
        <d v="2025-09-23T00:00:00"/>
        <d v="2025-09-22T00:00:00"/>
        <d v="2025-09-27T00:00:00"/>
        <d v="2025-11-22T00:00:00"/>
        <d v="2025-11-24T00:00:00"/>
        <d v="2025-11-25T00:00:00"/>
        <d v="2025-09-26T00:00:00"/>
        <d v="2026-02-27T00:00:00"/>
        <d v="2025-10-11T00:00:00"/>
        <d v="2025-11-19T00:00:00"/>
        <d v="2025-09-24T00:00:00"/>
        <d v="2025-10-26T00:00:00"/>
        <d v="2025-11-02T00:00:00"/>
        <d v="2025-11-03T00:00:00"/>
        <d v="2026-03-11T00:00:00"/>
        <d v="2026-02-06T00:00:00"/>
        <d v="2026-02-01T00:00:00"/>
        <d v="2026-02-03T00:00:00"/>
        <d v="2026-02-02T00:00:00"/>
        <d v="2026-03-30T00:00:00"/>
        <d v="2026-02-24T00:00:00"/>
        <d v="2026-02-17T00:00:00"/>
        <d v="2026-01-28T00:00:00"/>
        <d v="2026-02-12T00:00:00"/>
        <d v="2026-02-18T00:00:00"/>
        <d v="2026-02-26T00:00:00"/>
        <d v="2026-02-28T00:00:00"/>
        <d v="2026-01-31T00:00:00"/>
        <d v="2026-03-29T00:00:00"/>
        <d v="2026-02-05T00:00:00"/>
        <d v="2026-03-09T00:00:00"/>
        <d v="2025-10-05T00:00:00"/>
        <d v="2025-11-08T00:00:00"/>
        <d v="2025-11-17T00:00:00"/>
        <d v="2025-12-28T00:00:00"/>
        <d v="2025-12-29T00:00:00"/>
        <d v="2025-12-30T00:00:00"/>
        <d v="2025-12-31T00:00:00"/>
        <d v="2026-01-01T00:00:00"/>
        <d v="2026-01-02T00:00:00"/>
        <d v="2026-01-03T00:00:00"/>
        <d v="2026-01-04T00:00:00"/>
        <d v="2026-01-05T00:00:00"/>
        <d v="2026-01-19T00:00:00"/>
        <d v="2026-01-20T00:00:00"/>
        <d v="2026-01-26T00:00:00"/>
        <d v="2026-01-29T00:00:00"/>
        <d v="2026-01-30T00:00:00"/>
        <d v="2026-02-07T00:00:00"/>
        <d v="2026-02-09T00:00:00"/>
        <d v="2026-02-15T00:00:00"/>
        <d v="2026-02-19T00:00:00"/>
        <d v="2026-02-20T00:00:00"/>
        <d v="2026-02-23T00:00:00"/>
        <d v="2026-02-25T00:00:00"/>
        <d v="2026-03-24T00:00:00"/>
        <d v="2025-09-19T00:00:00"/>
        <d v="2026-01-21T00:00:00"/>
        <d v="2026-03-27T00:00:00"/>
        <d v="2026-03-06T00:00:00"/>
        <d v="2025-10-07T00:00:00"/>
        <d v="2025-10-08T00:00:00"/>
        <d v="2025-11-09T00:00:00"/>
        <d v="2026-03-02T00:00:00"/>
        <d v="2026-04-01T00:00:00"/>
        <d v="2025-10-19T00:00:00"/>
        <d v="2025-11-14T00:00:00"/>
        <d v="2025-11-15T00:00:00"/>
        <d v="2025-11-23T00:00:00"/>
        <d v="2025-09-20T00:00:00"/>
        <d v="2025-10-04T00:00:00"/>
        <d v="2025-10-06T00:00:00"/>
        <d v="2025-10-12T00:00:00"/>
        <d v="2025-11-12T00:00:00"/>
        <d v="2025-11-13T00:00:00"/>
        <d v="2025-11-2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6-01-25T00:00:00"/>
        <d v="2026-01-27T00:00:00"/>
        <d v="2026-02-10T00:00:00"/>
        <d v="2026-02-14T00:00:00"/>
        <d v="2026-03-01T00:00:00"/>
        <d v="2026-03-12T00:00:00"/>
        <d v="2026-04-02T00:00:00"/>
        <d v="2026-03-08T00:00:00"/>
        <d v="2025-09-17T00:00:00"/>
        <d v="2025-10-10T00:00:00"/>
        <d v="2025-10-15T00:00:00"/>
        <d v="2025-10-17T00:00:00"/>
        <d v="2025-10-18T00:00:00"/>
        <d v="2025-10-21T00:00:00"/>
        <d v="2025-10-22T00:00:00"/>
        <d v="2025-10-29T00:00:00"/>
        <d v="2026-01-23T00:00:00"/>
        <d v="2026-01-24T00:00:00"/>
        <d v="2026-02-13T00:00:00"/>
        <d v="2026-02-16T00:00:00"/>
        <d v="2026-02-21T00:00:00"/>
        <d v="2026-02-22T00:00:00"/>
        <d v="2026-03-07T00:00:00"/>
        <d v="2026-03-16T00:00:00"/>
        <d v="2026-03-25T00:00:00"/>
        <d v="2026-03-31T00:00:00"/>
        <d v="2026-04-03T00:00:00"/>
        <d v="2025-10-16T00:00:00"/>
        <d v="2025-11-18T00:00:00"/>
        <d v="2025-11-21T00:00:00"/>
        <d v="2025-11-28T00:00:00"/>
        <d v="2025-11-29T00:00:00"/>
        <d v="2025-11-30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3-18T00:00:00"/>
        <d v="2025-10-13T00:00:00"/>
        <d v="2026-03-15T00:00:00"/>
        <d v="2025-10-09T00:00:00"/>
        <d v="2025-10-14T00:00:00"/>
        <d v="2025-10-20T00:00:00"/>
        <d v="2025-10-23T00:00:00"/>
        <d v="2025-10-30T00:00:00"/>
        <d v="2025-11-07T00:00:00"/>
        <d v="2025-11-11T00:00:00"/>
        <d v="2026-01-15T00:00:00"/>
        <d v="2026-01-16T00:00:00"/>
        <d v="2026-01-17T00:00:00"/>
        <d v="2026-01-18T00:00:00"/>
        <d v="2026-01-22T00:00:00"/>
        <d v="2026-02-08T00:00:00"/>
        <d v="2026-02-11T00:00:00"/>
        <d v="2026-03-03T00:00:00"/>
        <d v="2026-03-04T00:00:00"/>
        <d v="2026-03-05T00:00:00"/>
        <d v="2026-03-10T00:00:00"/>
        <d v="2026-03-14T00:00:00"/>
        <d v="2026-03-17T00:00:00"/>
        <d v="2026-03-21T00:00:00"/>
        <d v="2026-03-23T00:00:00"/>
        <d v="2025-10-24T00:00:00"/>
        <d v="2025-10-25T00:00:00"/>
        <d v="2026-02-04T00:00:00"/>
        <d v="2026-03-28T00:00:00"/>
        <d v="2026-03-26T00:00:00"/>
        <d v="2026-04-04T00:00:00"/>
        <d v="2026-03-13T00:00:00"/>
        <d v="2026-03-19T00:00:00"/>
        <d v="2026-03-20T00:00:00"/>
        <d v="2026-03-22T00:00:00"/>
      </sharedItems>
      <fieldGroup par="10"/>
    </cacheField>
    <cacheField name="ID" numFmtId="0">
      <sharedItems containsSemiMixedTypes="0" containsString="0" containsNumber="1" containsInteger="1" minValue="2" maxValue="100"/>
    </cacheField>
    <cacheField name="Produto" numFmtId="0">
      <sharedItems count="65">
        <s v="Pastilha"/>
        <s v="Frango"/>
        <s v="Sabão em pó"/>
        <s v="Batata frita congelada"/>
        <s v="Alface"/>
        <s v="Amaciante"/>
        <s v="Coxinha"/>
        <s v="Lentilha"/>
        <s v="Grão de bico"/>
        <s v="Detergente"/>
        <s v="Escova de dentes"/>
        <s v="Molho inglês"/>
        <s v="Pudim"/>
        <s v="Chá"/>
        <s v="Sardinha"/>
        <s v="Polpa de fruta"/>
        <s v="Esponja"/>
        <s v="Salsicha"/>
        <s v="Sorvete"/>
        <s v="Açúcar"/>
        <s v="Linguiça"/>
        <s v="Fósforo"/>
        <s v="Mostarda"/>
        <s v="Carne bovina"/>
        <s v="Creme de leite"/>
        <s v="Whisky"/>
        <s v="Pizza congelada"/>
        <s v="Maionese"/>
        <s v="Farofa"/>
        <s v="Granola"/>
        <s v="Pastel"/>
        <s v="Tomate"/>
        <s v="Batata"/>
        <s v="Presunto"/>
        <s v="Aveia"/>
        <s v="Esfiha"/>
        <s v="Papel higiênico"/>
        <s v="Shoyu"/>
        <s v="Laranja"/>
        <s v="Mamão"/>
        <s v="Uva"/>
        <s v="Banana"/>
        <s v="Bolacha"/>
        <s v="Leite"/>
        <s v="Cebola"/>
        <s v="Pimenta"/>
        <s v="Maçã"/>
        <s v="Iogurte"/>
        <s v="Molho de pimenta"/>
        <s v="Desinfetante"/>
        <s v="Álcool"/>
        <s v="Condicionador"/>
        <s v="Sabonete"/>
        <s v="Refrigerante"/>
        <s v="Repolho"/>
        <s v="Leite condensado"/>
        <s v="Peixe"/>
        <s v="Ervilha"/>
        <s v="Suco"/>
        <s v="Gelatina"/>
        <s v="Café"/>
        <s v="Creme dental"/>
        <s v="Queijo"/>
        <s v="Macarrão"/>
        <s v="Biscoito"/>
      </sharedItems>
    </cacheField>
    <cacheField name="tipo" numFmtId="0">
      <sharedItems count="4">
        <s v="Higiene"/>
        <s v="Alimento"/>
        <s v="Bebida"/>
        <s v="Congelado"/>
      </sharedItems>
    </cacheField>
    <cacheField name="qtde" numFmtId="0">
      <sharedItems containsSemiMixedTypes="0" containsString="0" containsNumber="1" containsInteger="1" minValue="3" maxValue="432"/>
    </cacheField>
    <cacheField name="Cod clie" numFmtId="0">
      <sharedItems/>
    </cacheField>
    <cacheField name="cliente" numFmtId="0">
      <sharedItems count="67">
        <s v="Marcos Silva"/>
        <s v="Eduardo Farias"/>
        <s v="Thiago Correia"/>
        <s v="Fernando da Rosa"/>
        <s v="Lavínia Azevedo"/>
        <s v="Renan Ramos"/>
        <s v="Sra. Raquel Porto"/>
        <s v="Melissa Ferreira"/>
        <s v="Juliana Ramos"/>
        <s v="Patrícia Andrade"/>
        <s v="Ana Clara Rezende"/>
        <s v="Ana Paula Mendes"/>
        <s v="Beatriz Fernandes"/>
        <s v="Vitor Gabriel Alves"/>
        <s v="Débora Nascimento"/>
        <s v="Carolina Barbosa"/>
        <s v="Sabrina Nunes"/>
        <s v="Pedro Henrique Souza"/>
        <s v="Gabriela Torres"/>
        <s v="João Carlos Ribeiro"/>
        <s v="Yago Moreira"/>
        <s v="Bruno Castro"/>
        <s v="Raquel Cavalcanti"/>
        <s v="Fernanda Lima"/>
        <s v="Julia Rodrigues"/>
        <s v="Dr. Nicolas Ribeiro"/>
        <s v="Ana Beatriz da Cruz"/>
        <s v="Camila Rocha"/>
        <s v="Gabriela Fogaça"/>
        <s v="Maria Luiza Caldeira"/>
        <s v="Danilo Ribeiro"/>
        <s v="Lavínia Araújo"/>
        <s v="Lucas Oliveira"/>
        <s v="Eduardo Gomes"/>
        <s v="Ana Laura Pires"/>
        <s v="Murilo Moreira"/>
        <s v="Alexia Teixeira"/>
        <s v="Arthur Melo"/>
        <s v="Dr. Lucas da Costa"/>
        <s v="João Miguel Pereira"/>
        <s v="Bárbara Freitas"/>
        <s v="Isis Sales"/>
        <s v="Srta. Raquel Castro"/>
        <s v="Danilo Moraes"/>
        <s v="Isadora Rezende"/>
        <s v="João Miguel Cunha"/>
        <s v="Felipe Santos"/>
        <s v="Maria Luiza Nunes"/>
        <s v="Tatiane Martins"/>
        <s v="Felipe Carvalho"/>
        <s v="Pedro Lucas Monteiro"/>
        <s v="Isabelly Cardoso"/>
        <s v="Ana Júlia Pires"/>
        <s v="Luigi das Neves"/>
        <s v="Heloísa da Cruz"/>
        <s v="Rebeca Campos"/>
        <s v="Luana Cardoso"/>
        <s v="Vinícius Pires"/>
        <s v="Diego Pinto"/>
        <s v="Nathan da Mata"/>
        <s v="Pietro da Rosa"/>
        <s v="Eduarda Melo"/>
        <s v="Arthur Cavalcanti"/>
        <s v="Alexandre Alves"/>
        <s v="Dr. André Duarte"/>
        <s v="Ana Lívia Pereira"/>
        <s v="João Guilherme Farias"/>
      </sharedItems>
    </cacheField>
    <cacheField name="Meses (Data)" numFmtId="0" databaseField="0">
      <fieldGroup base="1">
        <rangePr groupBy="months" startDate="2025-09-17T00:00:00" endDate="2026-04-05T00:00:00"/>
        <groupItems count="14">
          <s v="&lt;17/09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4/2026"/>
        </groupItems>
      </fieldGroup>
    </cacheField>
    <cacheField name="Trimestres (Data)" numFmtId="0" databaseField="0">
      <fieldGroup base="1">
        <rangePr groupBy="quarters" startDate="2025-09-17T00:00:00" endDate="2026-04-05T00:00:00"/>
        <groupItems count="6">
          <s v="&lt;17/09/2025"/>
          <s v="Trim1"/>
          <s v="Trim2"/>
          <s v="Trim3"/>
          <s v="Trim4"/>
          <s v="&gt;05/04/2026"/>
        </groupItems>
      </fieldGroup>
    </cacheField>
    <cacheField name="Anos (Data)" numFmtId="0" databaseField="0">
      <fieldGroup base="1">
        <rangePr groupBy="years" startDate="2025-09-17T00:00:00" endDate="2026-04-05T00:00:00"/>
        <groupItems count="4">
          <s v="&lt;17/09/2025"/>
          <s v="2025"/>
          <s v="2026"/>
          <s v="&gt;05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98"/>
    <x v="0"/>
    <x v="0"/>
    <n v="231421"/>
    <s v="Mercadão Popular"/>
    <x v="0"/>
  </r>
  <r>
    <x v="0"/>
    <n v="90"/>
    <x v="1"/>
    <x v="0"/>
    <n v="123123"/>
    <s v="Super Econômico"/>
    <x v="0"/>
  </r>
  <r>
    <x v="0"/>
    <n v="91"/>
    <x v="2"/>
    <x v="0"/>
    <n v="123123"/>
    <s v="Bom Preço"/>
    <x v="1"/>
  </r>
  <r>
    <x v="0"/>
    <n v="92"/>
    <x v="3"/>
    <x v="0"/>
    <n v="123123"/>
    <s v="Casa das Ofertas"/>
    <x v="0"/>
  </r>
  <r>
    <x v="0"/>
    <n v="33"/>
    <x v="4"/>
    <x v="1"/>
    <n v="53453"/>
    <s v="Mercadão Popular"/>
    <x v="0"/>
  </r>
  <r>
    <x v="0"/>
    <n v="36"/>
    <x v="5"/>
    <x v="0"/>
    <n v="53453"/>
    <s v="Casa das Ofertas"/>
    <x v="2"/>
  </r>
  <r>
    <x v="0"/>
    <n v="44"/>
    <x v="2"/>
    <x v="0"/>
    <n v="53453"/>
    <s v="Super Econômico"/>
    <x v="0"/>
  </r>
  <r>
    <x v="0"/>
    <n v="30"/>
    <x v="6"/>
    <x v="0"/>
    <n v="53435"/>
    <s v="Super Econômico"/>
    <x v="3"/>
  </r>
  <r>
    <x v="0"/>
    <n v="8"/>
    <x v="7"/>
    <x v="1"/>
    <n v="44323"/>
    <s v="Super Econômico"/>
    <x v="2"/>
  </r>
  <r>
    <x v="0"/>
    <n v="100"/>
    <x v="8"/>
    <x v="1"/>
    <n v="41232"/>
    <s v="Mercadão Popular"/>
    <x v="2"/>
  </r>
  <r>
    <x v="0"/>
    <n v="96"/>
    <x v="9"/>
    <x v="1"/>
    <n v="32223"/>
    <s v="Mercadinho Central"/>
    <x v="3"/>
  </r>
  <r>
    <x v="0"/>
    <n v="88"/>
    <x v="10"/>
    <x v="0"/>
    <n v="32123"/>
    <s v="Bom Preço"/>
    <x v="3"/>
  </r>
  <r>
    <x v="0"/>
    <n v="89"/>
    <x v="11"/>
    <x v="1"/>
    <n v="32121"/>
    <s v="Casa das Ofertas"/>
    <x v="1"/>
  </r>
  <r>
    <x v="0"/>
    <n v="2"/>
    <x v="12"/>
    <x v="2"/>
    <n v="31232"/>
    <s v="Mercadinho Central"/>
    <x v="1"/>
  </r>
  <r>
    <x v="0"/>
    <n v="19"/>
    <x v="11"/>
    <x v="1"/>
    <n v="31231"/>
    <s v="Mercadão Popular"/>
    <x v="3"/>
  </r>
  <r>
    <x v="0"/>
    <n v="73"/>
    <x v="9"/>
    <x v="1"/>
    <n v="31223"/>
    <s v="Mercadinho Central"/>
    <x v="2"/>
  </r>
  <r>
    <x v="0"/>
    <n v="81"/>
    <x v="11"/>
    <x v="1"/>
    <n v="23212"/>
    <s v="Bom Preço"/>
    <x v="0"/>
  </r>
  <r>
    <x v="0"/>
    <n v="85"/>
    <x v="13"/>
    <x v="0"/>
    <n v="21321"/>
    <s v="Super Econômico"/>
    <x v="2"/>
  </r>
  <r>
    <x v="0"/>
    <n v="94"/>
    <x v="14"/>
    <x v="1"/>
    <n v="21312"/>
    <s v="Casa das Ofertas"/>
    <x v="2"/>
  </r>
  <r>
    <x v="0"/>
    <n v="78"/>
    <x v="15"/>
    <x v="0"/>
    <n v="21231"/>
    <s v="Mercadinho Central"/>
    <x v="1"/>
  </r>
  <r>
    <x v="0"/>
    <n v="84"/>
    <x v="16"/>
    <x v="1"/>
    <n v="21231"/>
    <s v="Super Econômico"/>
    <x v="4"/>
  </r>
  <r>
    <x v="0"/>
    <n v="76"/>
    <x v="0"/>
    <x v="0"/>
    <n v="21123"/>
    <s v="Super Econômico"/>
    <x v="2"/>
  </r>
  <r>
    <x v="0"/>
    <n v="1"/>
    <x v="17"/>
    <x v="0"/>
    <n v="18929"/>
    <s v="Casa das Ofertas"/>
    <x v="3"/>
  </r>
  <r>
    <x v="0"/>
    <n v="3"/>
    <x v="18"/>
    <x v="0"/>
    <n v="18929"/>
    <s v="Casa das Ofertas"/>
    <x v="4"/>
  </r>
  <r>
    <x v="0"/>
    <n v="5"/>
    <x v="19"/>
    <x v="0"/>
    <n v="18929"/>
    <s v="Mercadinho Central"/>
    <x v="4"/>
  </r>
  <r>
    <x v="0"/>
    <n v="7"/>
    <x v="20"/>
    <x v="0"/>
    <n v="18929"/>
    <s v="Super Econômico"/>
    <x v="3"/>
  </r>
  <r>
    <x v="0"/>
    <n v="9"/>
    <x v="21"/>
    <x v="0"/>
    <n v="18929"/>
    <s v="Mercadinho Central"/>
    <x v="2"/>
  </r>
  <r>
    <x v="0"/>
    <n v="11"/>
    <x v="7"/>
    <x v="1"/>
    <n v="18929"/>
    <s v="Bom Preço"/>
    <x v="1"/>
  </r>
  <r>
    <x v="0"/>
    <n v="13"/>
    <x v="22"/>
    <x v="0"/>
    <n v="18929"/>
    <s v="Super Econômico"/>
    <x v="2"/>
  </r>
  <r>
    <x v="0"/>
    <n v="14"/>
    <x v="23"/>
    <x v="0"/>
    <n v="18929"/>
    <s v="Casa das Ofertas"/>
    <x v="3"/>
  </r>
  <r>
    <x v="0"/>
    <n v="15"/>
    <x v="24"/>
    <x v="0"/>
    <n v="18929"/>
    <s v="Casa das Ofertas"/>
    <x v="0"/>
  </r>
  <r>
    <x v="0"/>
    <n v="17"/>
    <x v="25"/>
    <x v="2"/>
    <n v="18929"/>
    <s v="Mercadinho Central"/>
    <x v="4"/>
  </r>
  <r>
    <x v="0"/>
    <n v="18"/>
    <x v="26"/>
    <x v="0"/>
    <n v="18929"/>
    <s v="Casa das Ofertas"/>
    <x v="3"/>
  </r>
  <r>
    <x v="0"/>
    <n v="20"/>
    <x v="15"/>
    <x v="0"/>
    <n v="18929"/>
    <s v="Mercadinho Central"/>
    <x v="1"/>
  </r>
  <r>
    <x v="0"/>
    <n v="22"/>
    <x v="27"/>
    <x v="1"/>
    <n v="18929"/>
    <s v="Bom Preço"/>
    <x v="0"/>
  </r>
  <r>
    <x v="0"/>
    <n v="23"/>
    <x v="28"/>
    <x v="0"/>
    <n v="18929"/>
    <s v="Mercadão Popular"/>
    <x v="4"/>
  </r>
  <r>
    <x v="0"/>
    <n v="25"/>
    <x v="20"/>
    <x v="0"/>
    <n v="18929"/>
    <s v="Mercadinho Central"/>
    <x v="2"/>
  </r>
  <r>
    <x v="0"/>
    <n v="26"/>
    <x v="29"/>
    <x v="0"/>
    <n v="18929"/>
    <s v="Casa das Ofertas"/>
    <x v="2"/>
  </r>
  <r>
    <x v="0"/>
    <n v="28"/>
    <x v="30"/>
    <x v="0"/>
    <n v="18929"/>
    <s v="Bom Preço"/>
    <x v="0"/>
  </r>
  <r>
    <x v="0"/>
    <n v="29"/>
    <x v="31"/>
    <x v="0"/>
    <n v="18929"/>
    <s v="Bom Preço"/>
    <x v="0"/>
  </r>
  <r>
    <x v="0"/>
    <n v="31"/>
    <x v="0"/>
    <x v="0"/>
    <n v="18929"/>
    <s v="Super Econômico"/>
    <x v="0"/>
  </r>
  <r>
    <x v="0"/>
    <n v="32"/>
    <x v="32"/>
    <x v="2"/>
    <n v="18929"/>
    <s v="Bom Preço"/>
    <x v="0"/>
  </r>
  <r>
    <x v="0"/>
    <n v="34"/>
    <x v="17"/>
    <x v="0"/>
    <n v="18929"/>
    <s v="Casa das Ofertas"/>
    <x v="4"/>
  </r>
  <r>
    <x v="0"/>
    <n v="35"/>
    <x v="2"/>
    <x v="0"/>
    <n v="18929"/>
    <s v="Super Econômico"/>
    <x v="0"/>
  </r>
  <r>
    <x v="0"/>
    <n v="37"/>
    <x v="11"/>
    <x v="1"/>
    <n v="18929"/>
    <s v="Super Econômico"/>
    <x v="3"/>
  </r>
  <r>
    <x v="0"/>
    <n v="38"/>
    <x v="33"/>
    <x v="0"/>
    <n v="18929"/>
    <s v="Mercadão Popular"/>
    <x v="4"/>
  </r>
  <r>
    <x v="0"/>
    <n v="39"/>
    <x v="34"/>
    <x v="2"/>
    <n v="18929"/>
    <s v="Mercadinho Central"/>
    <x v="2"/>
  </r>
  <r>
    <x v="0"/>
    <n v="40"/>
    <x v="1"/>
    <x v="0"/>
    <n v="18929"/>
    <s v="Super Econômico"/>
    <x v="3"/>
  </r>
  <r>
    <x v="0"/>
    <n v="41"/>
    <x v="35"/>
    <x v="0"/>
    <n v="18929"/>
    <s v="Mercadão Popular"/>
    <x v="3"/>
  </r>
  <r>
    <x v="0"/>
    <n v="42"/>
    <x v="36"/>
    <x v="0"/>
    <n v="18929"/>
    <s v="Casa das Ofertas"/>
    <x v="4"/>
  </r>
  <r>
    <x v="0"/>
    <n v="43"/>
    <x v="37"/>
    <x v="0"/>
    <n v="18929"/>
    <s v="Casa das Ofertas"/>
    <x v="1"/>
  </r>
  <r>
    <x v="0"/>
    <n v="45"/>
    <x v="24"/>
    <x v="0"/>
    <n v="18929"/>
    <s v="Casa das Ofertas"/>
    <x v="4"/>
  </r>
  <r>
    <x v="0"/>
    <n v="46"/>
    <x v="14"/>
    <x v="0"/>
    <n v="18929"/>
    <s v="Casa das Ofertas"/>
    <x v="3"/>
  </r>
  <r>
    <x v="0"/>
    <n v="48"/>
    <x v="0"/>
    <x v="0"/>
    <n v="18929"/>
    <s v="Casa das Ofertas"/>
    <x v="0"/>
  </r>
  <r>
    <x v="0"/>
    <n v="49"/>
    <x v="38"/>
    <x v="0"/>
    <n v="18929"/>
    <s v="Mercadinho Central"/>
    <x v="3"/>
  </r>
  <r>
    <x v="0"/>
    <n v="50"/>
    <x v="39"/>
    <x v="0"/>
    <n v="18929"/>
    <s v="Bom Preço"/>
    <x v="1"/>
  </r>
  <r>
    <x v="0"/>
    <n v="51"/>
    <x v="40"/>
    <x v="2"/>
    <n v="18929"/>
    <s v="Mercadão Popular"/>
    <x v="4"/>
  </r>
  <r>
    <x v="0"/>
    <n v="52"/>
    <x v="28"/>
    <x v="0"/>
    <n v="18929"/>
    <s v="Super Econômico"/>
    <x v="0"/>
  </r>
  <r>
    <x v="0"/>
    <n v="53"/>
    <x v="41"/>
    <x v="0"/>
    <n v="18929"/>
    <s v="Bom Preço"/>
    <x v="1"/>
  </r>
  <r>
    <x v="0"/>
    <n v="55"/>
    <x v="42"/>
    <x v="0"/>
    <n v="18929"/>
    <s v="Mercadão Popular"/>
    <x v="4"/>
  </r>
  <r>
    <x v="0"/>
    <n v="56"/>
    <x v="43"/>
    <x v="0"/>
    <n v="18929"/>
    <s v="Bom Preço"/>
    <x v="3"/>
  </r>
  <r>
    <x v="0"/>
    <n v="57"/>
    <x v="44"/>
    <x v="0"/>
    <n v="18929"/>
    <s v="Super Econômico"/>
    <x v="3"/>
  </r>
  <r>
    <x v="0"/>
    <n v="59"/>
    <x v="20"/>
    <x v="0"/>
    <n v="18929"/>
    <s v="Casa das Ofertas"/>
    <x v="4"/>
  </r>
  <r>
    <x v="0"/>
    <n v="61"/>
    <x v="43"/>
    <x v="0"/>
    <n v="18929"/>
    <s v="Super Econômico"/>
    <x v="2"/>
  </r>
  <r>
    <x v="0"/>
    <n v="65"/>
    <x v="45"/>
    <x v="3"/>
    <n v="18929"/>
    <s v="Casa das Ofertas"/>
    <x v="0"/>
  </r>
  <r>
    <x v="0"/>
    <n v="66"/>
    <x v="3"/>
    <x v="0"/>
    <n v="18929"/>
    <s v="Mercadão Popular"/>
    <x v="3"/>
  </r>
  <r>
    <x v="0"/>
    <n v="68"/>
    <x v="46"/>
    <x v="4"/>
    <n v="18929"/>
    <s v="Casa das Ofertas"/>
    <x v="2"/>
  </r>
  <r>
    <x v="0"/>
    <n v="69"/>
    <x v="47"/>
    <x v="2"/>
    <n v="18929"/>
    <s v="Bom Preço"/>
    <x v="0"/>
  </r>
  <r>
    <x v="0"/>
    <n v="70"/>
    <x v="48"/>
    <x v="0"/>
    <n v="18929"/>
    <s v="Mercadinho Central"/>
    <x v="4"/>
  </r>
  <r>
    <x v="0"/>
    <n v="71"/>
    <x v="40"/>
    <x v="2"/>
    <n v="18929"/>
    <s v="Bom Preço"/>
    <x v="0"/>
  </r>
  <r>
    <x v="0"/>
    <n v="72"/>
    <x v="49"/>
    <x v="2"/>
    <n v="18929"/>
    <s v="Casa das Ofertas"/>
    <x v="1"/>
  </r>
  <r>
    <x v="0"/>
    <n v="79"/>
    <x v="50"/>
    <x v="2"/>
    <n v="18929"/>
    <s v="Bom Preço"/>
    <x v="0"/>
  </r>
  <r>
    <x v="0"/>
    <n v="80"/>
    <x v="51"/>
    <x v="2"/>
    <n v="18929"/>
    <s v="Mercadão Popular"/>
    <x v="2"/>
  </r>
  <r>
    <x v="0"/>
    <n v="86"/>
    <x v="52"/>
    <x v="0"/>
    <n v="18929"/>
    <s v="Bom Preço"/>
    <x v="2"/>
  </r>
  <r>
    <x v="0"/>
    <n v="87"/>
    <x v="53"/>
    <x v="1"/>
    <n v="18929"/>
    <s v="Mercadão Popular"/>
    <x v="4"/>
  </r>
  <r>
    <x v="0"/>
    <n v="93"/>
    <x v="48"/>
    <x v="0"/>
    <n v="18929"/>
    <s v="Mercadinho Central"/>
    <x v="4"/>
  </r>
  <r>
    <x v="0"/>
    <n v="95"/>
    <x v="54"/>
    <x v="0"/>
    <n v="18929"/>
    <s v="Mercadão Popular"/>
    <x v="0"/>
  </r>
  <r>
    <x v="0"/>
    <n v="97"/>
    <x v="51"/>
    <x v="2"/>
    <n v="18929"/>
    <s v="Casa das Ofertas"/>
    <x v="0"/>
  </r>
  <r>
    <x v="0"/>
    <n v="74"/>
    <x v="55"/>
    <x v="0"/>
    <n v="12323"/>
    <s v="Bom Preço"/>
    <x v="4"/>
  </r>
  <r>
    <x v="0"/>
    <n v="75"/>
    <x v="27"/>
    <x v="1"/>
    <n v="12312"/>
    <s v="Mercadinho Central"/>
    <x v="1"/>
  </r>
  <r>
    <x v="0"/>
    <n v="77"/>
    <x v="56"/>
    <x v="2"/>
    <n v="12312"/>
    <s v="Super Econômico"/>
    <x v="2"/>
  </r>
  <r>
    <x v="0"/>
    <n v="82"/>
    <x v="20"/>
    <x v="0"/>
    <n v="12312"/>
    <s v="Super Econômico"/>
    <x v="0"/>
  </r>
  <r>
    <x v="0"/>
    <n v="83"/>
    <x v="33"/>
    <x v="0"/>
    <n v="12312"/>
    <s v="Bom Preço"/>
    <x v="4"/>
  </r>
  <r>
    <x v="0"/>
    <n v="12"/>
    <x v="57"/>
    <x v="0"/>
    <n v="12124"/>
    <s v="Super Econômico"/>
    <x v="3"/>
  </r>
  <r>
    <x v="0"/>
    <n v="47"/>
    <x v="58"/>
    <x v="0"/>
    <n v="5345"/>
    <s v="Super Econômico"/>
    <x v="2"/>
  </r>
  <r>
    <x v="0"/>
    <n v="99"/>
    <x v="58"/>
    <x v="0"/>
    <n v="4232"/>
    <s v="Casa das Ofertas"/>
    <x v="0"/>
  </r>
  <r>
    <x v="0"/>
    <n v="67"/>
    <x v="59"/>
    <x v="0"/>
    <n v="4123"/>
    <s v="Super Econômico"/>
    <x v="3"/>
  </r>
  <r>
    <x v="0"/>
    <n v="58"/>
    <x v="59"/>
    <x v="0"/>
    <n v="3242"/>
    <s v="Mercadão Popular"/>
    <x v="4"/>
  </r>
  <r>
    <x v="0"/>
    <n v="63"/>
    <x v="60"/>
    <x v="0"/>
    <n v="3221"/>
    <s v="Mercadinho Central"/>
    <x v="0"/>
  </r>
  <r>
    <x v="0"/>
    <n v="24"/>
    <x v="61"/>
    <x v="0"/>
    <n v="3124"/>
    <s v="Bom Preço"/>
    <x v="3"/>
  </r>
  <r>
    <x v="0"/>
    <n v="4"/>
    <x v="58"/>
    <x v="0"/>
    <n v="3123"/>
    <s v="Mercadão Popular"/>
    <x v="2"/>
  </r>
  <r>
    <x v="0"/>
    <n v="16"/>
    <x v="24"/>
    <x v="0"/>
    <n v="3123"/>
    <s v="Mercadão Popular"/>
    <x v="4"/>
  </r>
  <r>
    <x v="0"/>
    <n v="60"/>
    <x v="62"/>
    <x v="2"/>
    <n v="3123"/>
    <s v="Super Econômico"/>
    <x v="2"/>
  </r>
  <r>
    <x v="0"/>
    <n v="54"/>
    <x v="63"/>
    <x v="0"/>
    <n v="1323"/>
    <s v="Mercadinho Central"/>
    <x v="1"/>
  </r>
  <r>
    <x v="0"/>
    <n v="6"/>
    <x v="32"/>
    <x v="2"/>
    <n v="1231"/>
    <s v="Bom Preço"/>
    <x v="4"/>
  </r>
  <r>
    <x v="0"/>
    <n v="62"/>
    <x v="64"/>
    <x v="2"/>
    <n v="1231"/>
    <s v="Bom Preço"/>
    <x v="0"/>
  </r>
  <r>
    <x v="0"/>
    <n v="27"/>
    <x v="61"/>
    <x v="0"/>
    <n v="543"/>
    <s v="Bom Preço"/>
    <x v="4"/>
  </r>
  <r>
    <x v="0"/>
    <n v="64"/>
    <x v="65"/>
    <x v="0"/>
    <n v="432"/>
    <s v="Super Econômico"/>
    <x v="4"/>
  </r>
  <r>
    <x v="0"/>
    <n v="10"/>
    <x v="51"/>
    <x v="2"/>
    <n v="423"/>
    <s v="Mercadinho Central"/>
    <x v="4"/>
  </r>
  <r>
    <x v="0"/>
    <n v="21"/>
    <x v="48"/>
    <x v="0"/>
    <n v="412"/>
    <s v="Super Econômico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n v="1008"/>
    <x v="0"/>
    <n v="10"/>
    <x v="0"/>
    <x v="0"/>
    <n v="432"/>
    <s v="345.678.901-23"/>
    <x v="0"/>
  </r>
  <r>
    <n v="1013"/>
    <x v="1"/>
    <n v="15"/>
    <x v="1"/>
    <x v="1"/>
    <n v="432"/>
    <s v="444.555.666-77"/>
    <x v="1"/>
  </r>
  <r>
    <n v="1015"/>
    <x v="2"/>
    <n v="17"/>
    <x v="2"/>
    <x v="0"/>
    <n v="432"/>
    <s v="666.777.888-99"/>
    <x v="2"/>
  </r>
  <r>
    <n v="1048"/>
    <x v="3"/>
    <n v="50"/>
    <x v="3"/>
    <x v="1"/>
    <n v="432"/>
    <s v="483.726.590-10"/>
    <x v="3"/>
  </r>
  <r>
    <n v="1054"/>
    <x v="4"/>
    <n v="56"/>
    <x v="4"/>
    <x v="1"/>
    <n v="432"/>
    <s v="452.913.678-73"/>
    <x v="4"/>
  </r>
  <r>
    <n v="1049"/>
    <x v="5"/>
    <n v="51"/>
    <x v="5"/>
    <x v="0"/>
    <n v="431"/>
    <s v="641.879.203-31"/>
    <x v="5"/>
  </r>
  <r>
    <n v="1045"/>
    <x v="6"/>
    <n v="47"/>
    <x v="6"/>
    <x v="1"/>
    <n v="421"/>
    <s v="269.847.310-03"/>
    <x v="6"/>
  </r>
  <r>
    <n v="1040"/>
    <x v="7"/>
    <n v="42"/>
    <x v="7"/>
    <x v="1"/>
    <n v="412"/>
    <s v="984.037.625-00"/>
    <x v="7"/>
  </r>
  <r>
    <n v="1050"/>
    <x v="8"/>
    <n v="52"/>
    <x v="8"/>
    <x v="1"/>
    <n v="412"/>
    <s v="275.031.648-08"/>
    <x v="8"/>
  </r>
  <r>
    <n v="1004"/>
    <x v="9"/>
    <n v="6"/>
    <x v="9"/>
    <x v="0"/>
    <n v="343"/>
    <s v="666.777.888-99"/>
    <x v="2"/>
  </r>
  <r>
    <n v="1014"/>
    <x v="10"/>
    <n v="16"/>
    <x v="1"/>
    <x v="1"/>
    <n v="343"/>
    <s v="555.666.777-88"/>
    <x v="9"/>
  </r>
  <r>
    <n v="1060"/>
    <x v="11"/>
    <n v="62"/>
    <x v="10"/>
    <x v="0"/>
    <n v="343"/>
    <s v="205.498.763-83"/>
    <x v="10"/>
  </r>
  <r>
    <n v="1011"/>
    <x v="12"/>
    <n v="13"/>
    <x v="11"/>
    <x v="1"/>
    <n v="342"/>
    <s v="123.456.789-01"/>
    <x v="11"/>
  </r>
  <r>
    <n v="1001"/>
    <x v="13"/>
    <n v="3"/>
    <x v="9"/>
    <x v="0"/>
    <n v="341"/>
    <s v="890.123.456-78"/>
    <x v="12"/>
  </r>
  <r>
    <n v="1041"/>
    <x v="14"/>
    <n v="43"/>
    <x v="12"/>
    <x v="1"/>
    <n v="341"/>
    <s v="346.507.918-39"/>
    <x v="13"/>
  </r>
  <r>
    <n v="1071"/>
    <x v="15"/>
    <n v="73"/>
    <x v="13"/>
    <x v="2"/>
    <n v="332"/>
    <s v="890.123.456-78"/>
    <x v="12"/>
  </r>
  <r>
    <n v="1016"/>
    <x v="16"/>
    <n v="18"/>
    <x v="14"/>
    <x v="1"/>
    <n v="324"/>
    <s v="777.888.999-00"/>
    <x v="14"/>
  </r>
  <r>
    <n v="1012"/>
    <x v="17"/>
    <n v="14"/>
    <x v="15"/>
    <x v="1"/>
    <n v="323"/>
    <s v="333.444.555-66"/>
    <x v="15"/>
  </r>
  <r>
    <n v="1070"/>
    <x v="18"/>
    <n v="72"/>
    <x v="16"/>
    <x v="0"/>
    <n v="322"/>
    <s v="555.666.777-88"/>
    <x v="9"/>
  </r>
  <r>
    <n v="1044"/>
    <x v="19"/>
    <n v="46"/>
    <x v="17"/>
    <x v="1"/>
    <n v="321"/>
    <s v="015.986.734-75"/>
    <x v="16"/>
  </r>
  <r>
    <n v="1006"/>
    <x v="20"/>
    <n v="8"/>
    <x v="18"/>
    <x v="1"/>
    <n v="234"/>
    <s v="67.890.123-45"/>
    <x v="17"/>
  </r>
  <r>
    <n v="1005"/>
    <x v="21"/>
    <n v="7"/>
    <x v="19"/>
    <x v="1"/>
    <n v="233"/>
    <s v="999.000.111-22"/>
    <x v="18"/>
  </r>
  <r>
    <n v="1010"/>
    <x v="22"/>
    <n v="12"/>
    <x v="20"/>
    <x v="1"/>
    <n v="233"/>
    <s v="987.654.321-00"/>
    <x v="19"/>
  </r>
  <r>
    <n v="1066"/>
    <x v="23"/>
    <n v="68"/>
    <x v="21"/>
    <x v="0"/>
    <n v="233"/>
    <s v="653.941.820-51"/>
    <x v="20"/>
  </r>
  <r>
    <n v="1068"/>
    <x v="24"/>
    <n v="70"/>
    <x v="22"/>
    <x v="1"/>
    <n v="232"/>
    <s v="863.074.195-39"/>
    <x v="21"/>
  </r>
  <r>
    <n v="1069"/>
    <x v="25"/>
    <n v="71"/>
    <x v="5"/>
    <x v="0"/>
    <n v="232"/>
    <s v="594.371.286-00"/>
    <x v="22"/>
  </r>
  <r>
    <n v="1009"/>
    <x v="26"/>
    <n v="11"/>
    <x v="18"/>
    <x v="1"/>
    <n v="223"/>
    <s v="234.567.890-12"/>
    <x v="23"/>
  </r>
  <r>
    <n v="1163"/>
    <x v="27"/>
    <n v="66"/>
    <x v="23"/>
    <x v="1"/>
    <n v="223"/>
    <s v="791.506.823-77"/>
    <x v="24"/>
  </r>
  <r>
    <n v="1024"/>
    <x v="28"/>
    <n v="26"/>
    <x v="24"/>
    <x v="1"/>
    <n v="212"/>
    <s v="685.079.431-01"/>
    <x v="25"/>
  </r>
  <r>
    <n v="1063"/>
    <x v="29"/>
    <n v="65"/>
    <x v="25"/>
    <x v="2"/>
    <n v="212"/>
    <s v="925.614.730-07"/>
    <x v="26"/>
  </r>
  <r>
    <n v="1007"/>
    <x v="30"/>
    <n v="9"/>
    <x v="26"/>
    <x v="1"/>
    <n v="123"/>
    <s v="456.789.012-34"/>
    <x v="27"/>
  </r>
  <r>
    <n v="1039"/>
    <x v="31"/>
    <n v="41"/>
    <x v="27"/>
    <x v="1"/>
    <n v="123"/>
    <s v="837.216.509-21"/>
    <x v="28"/>
  </r>
  <r>
    <n v="1046"/>
    <x v="32"/>
    <n v="48"/>
    <x v="28"/>
    <x v="1"/>
    <n v="123"/>
    <s v="813.524.607-26"/>
    <x v="29"/>
  </r>
  <r>
    <n v="1047"/>
    <x v="33"/>
    <n v="49"/>
    <x v="29"/>
    <x v="1"/>
    <n v="123"/>
    <s v="475.913.260-07"/>
    <x v="30"/>
  </r>
  <r>
    <n v="1175"/>
    <x v="34"/>
    <n v="78"/>
    <x v="30"/>
    <x v="1"/>
    <n v="121"/>
    <s v="085.319.467-00"/>
    <x v="31"/>
  </r>
  <r>
    <n v="1142"/>
    <x v="35"/>
    <n v="45"/>
    <x v="1"/>
    <x v="1"/>
    <n v="87"/>
    <s v="901.234.567-89"/>
    <x v="32"/>
  </r>
  <r>
    <n v="1137"/>
    <x v="36"/>
    <n v="40"/>
    <x v="31"/>
    <x v="1"/>
    <n v="84"/>
    <s v="270.345.168-71"/>
    <x v="33"/>
  </r>
  <r>
    <n v="1139"/>
    <x v="37"/>
    <n v="42"/>
    <x v="7"/>
    <x v="1"/>
    <n v="77"/>
    <s v="594.371.286-00"/>
    <x v="22"/>
  </r>
  <r>
    <n v="1138"/>
    <x v="38"/>
    <n v="41"/>
    <x v="27"/>
    <x v="1"/>
    <n v="76"/>
    <s v="863.074.195-39"/>
    <x v="21"/>
  </r>
  <r>
    <n v="1194"/>
    <x v="39"/>
    <n v="97"/>
    <x v="0"/>
    <x v="0"/>
    <n v="75"/>
    <s v="452.913.678-73"/>
    <x v="4"/>
  </r>
  <r>
    <n v="1160"/>
    <x v="40"/>
    <n v="63"/>
    <x v="32"/>
    <x v="1"/>
    <n v="65"/>
    <s v="823.491.507-04"/>
    <x v="34"/>
  </r>
  <r>
    <n v="1153"/>
    <x v="41"/>
    <n v="56"/>
    <x v="4"/>
    <x v="1"/>
    <n v="56"/>
    <s v="444.555.666-77"/>
    <x v="1"/>
  </r>
  <r>
    <n v="1133"/>
    <x v="42"/>
    <n v="36"/>
    <x v="33"/>
    <x v="1"/>
    <n v="54"/>
    <s v="925.614.730-07"/>
    <x v="26"/>
  </r>
  <r>
    <n v="1148"/>
    <x v="43"/>
    <n v="51"/>
    <x v="5"/>
    <x v="0"/>
    <n v="54"/>
    <s v="345.678.901-23"/>
    <x v="0"/>
  </r>
  <r>
    <n v="1154"/>
    <x v="44"/>
    <n v="57"/>
    <x v="34"/>
    <x v="1"/>
    <n v="54"/>
    <s v="555.666.777-88"/>
    <x v="9"/>
  </r>
  <r>
    <n v="1162"/>
    <x v="45"/>
    <n v="65"/>
    <x v="25"/>
    <x v="2"/>
    <n v="54"/>
    <s v="572.103.846-26"/>
    <x v="35"/>
  </r>
  <r>
    <n v="1164"/>
    <x v="46"/>
    <n v="67"/>
    <x v="35"/>
    <x v="1"/>
    <n v="54"/>
    <s v="685.079.431-01"/>
    <x v="25"/>
  </r>
  <r>
    <n v="1136"/>
    <x v="47"/>
    <n v="39"/>
    <x v="36"/>
    <x v="0"/>
    <n v="53"/>
    <s v="653.941.820-51"/>
    <x v="20"/>
  </r>
  <r>
    <n v="1193"/>
    <x v="48"/>
    <n v="96"/>
    <x v="13"/>
    <x v="2"/>
    <n v="53"/>
    <s v="197.843.205-41"/>
    <x v="36"/>
  </r>
  <r>
    <n v="1141"/>
    <x v="49"/>
    <n v="44"/>
    <x v="37"/>
    <x v="1"/>
    <n v="45"/>
    <s v="890.123.456-78"/>
    <x v="12"/>
  </r>
  <r>
    <n v="1173"/>
    <x v="50"/>
    <n v="76"/>
    <x v="28"/>
    <x v="1"/>
    <n v="45"/>
    <s v="245.308.716-90"/>
    <x v="37"/>
  </r>
  <r>
    <n v="1018"/>
    <x v="51"/>
    <n v="20"/>
    <x v="30"/>
    <x v="1"/>
    <n v="43"/>
    <s v="999.000.111-22"/>
    <x v="18"/>
  </r>
  <r>
    <n v="1052"/>
    <x v="52"/>
    <n v="54"/>
    <x v="38"/>
    <x v="1"/>
    <n v="43"/>
    <s v="304.562.781-17"/>
    <x v="38"/>
  </r>
  <r>
    <n v="1061"/>
    <x v="53"/>
    <n v="63"/>
    <x v="32"/>
    <x v="1"/>
    <n v="43"/>
    <s v="058.271.936-40"/>
    <x v="39"/>
  </r>
  <r>
    <n v="1102"/>
    <x v="54"/>
    <n v="5"/>
    <x v="39"/>
    <x v="1"/>
    <n v="43"/>
    <s v="375.218.964-91"/>
    <x v="40"/>
  </r>
  <r>
    <n v="1103"/>
    <x v="55"/>
    <n v="6"/>
    <x v="9"/>
    <x v="0"/>
    <n v="43"/>
    <s v="245.308.716-90"/>
    <x v="37"/>
  </r>
  <r>
    <n v="1104"/>
    <x v="56"/>
    <n v="7"/>
    <x v="19"/>
    <x v="1"/>
    <n v="43"/>
    <s v="230.419.567-99"/>
    <x v="41"/>
  </r>
  <r>
    <n v="1105"/>
    <x v="57"/>
    <n v="8"/>
    <x v="18"/>
    <x v="1"/>
    <n v="43"/>
    <s v="085.319.467-00"/>
    <x v="31"/>
  </r>
  <r>
    <n v="1106"/>
    <x v="58"/>
    <n v="9"/>
    <x v="26"/>
    <x v="1"/>
    <n v="43"/>
    <s v="958.610.274-20"/>
    <x v="42"/>
  </r>
  <r>
    <n v="1107"/>
    <x v="59"/>
    <n v="10"/>
    <x v="0"/>
    <x v="0"/>
    <n v="43"/>
    <s v="451.763.982-73"/>
    <x v="43"/>
  </r>
  <r>
    <n v="1108"/>
    <x v="60"/>
    <n v="11"/>
    <x v="18"/>
    <x v="1"/>
    <n v="43"/>
    <s v="875.612.903-30"/>
    <x v="44"/>
  </r>
  <r>
    <n v="1109"/>
    <x v="61"/>
    <n v="12"/>
    <x v="20"/>
    <x v="1"/>
    <n v="43"/>
    <s v="837.216.509-21"/>
    <x v="28"/>
  </r>
  <r>
    <n v="1110"/>
    <x v="62"/>
    <n v="13"/>
    <x v="11"/>
    <x v="1"/>
    <n v="43"/>
    <s v="984.037.625-00"/>
    <x v="7"/>
  </r>
  <r>
    <n v="1124"/>
    <x v="63"/>
    <n v="27"/>
    <x v="40"/>
    <x v="1"/>
    <n v="43"/>
    <s v="452.913.678-73"/>
    <x v="4"/>
  </r>
  <r>
    <n v="1125"/>
    <x v="64"/>
    <n v="28"/>
    <x v="41"/>
    <x v="1"/>
    <n v="43"/>
    <s v="056.124.398-06"/>
    <x v="45"/>
  </r>
  <r>
    <n v="1131"/>
    <x v="65"/>
    <n v="34"/>
    <x v="42"/>
    <x v="1"/>
    <n v="43"/>
    <s v="058.271.936-40"/>
    <x v="39"/>
  </r>
  <r>
    <n v="1134"/>
    <x v="66"/>
    <n v="37"/>
    <x v="43"/>
    <x v="2"/>
    <n v="43"/>
    <s v="726.491.058-01"/>
    <x v="46"/>
  </r>
  <r>
    <n v="1135"/>
    <x v="67"/>
    <n v="38"/>
    <x v="44"/>
    <x v="1"/>
    <n v="43"/>
    <s v="658.302.971-59"/>
    <x v="47"/>
  </r>
  <r>
    <n v="1143"/>
    <x v="68"/>
    <n v="46"/>
    <x v="17"/>
    <x v="1"/>
    <n v="43"/>
    <s v="111.222.333-44"/>
    <x v="48"/>
  </r>
  <r>
    <n v="1145"/>
    <x v="69"/>
    <n v="48"/>
    <x v="28"/>
    <x v="1"/>
    <n v="43"/>
    <s v="999.000.111-22"/>
    <x v="18"/>
  </r>
  <r>
    <n v="1151"/>
    <x v="70"/>
    <n v="54"/>
    <x v="38"/>
    <x v="1"/>
    <n v="43"/>
    <s v="123.456.789-01"/>
    <x v="11"/>
  </r>
  <r>
    <n v="1155"/>
    <x v="71"/>
    <n v="58"/>
    <x v="35"/>
    <x v="1"/>
    <n v="43"/>
    <s v="666.777.888-99"/>
    <x v="2"/>
  </r>
  <r>
    <n v="1156"/>
    <x v="72"/>
    <n v="59"/>
    <x v="19"/>
    <x v="1"/>
    <n v="43"/>
    <s v="777.888.999-00"/>
    <x v="14"/>
  </r>
  <r>
    <n v="1159"/>
    <x v="73"/>
    <n v="62"/>
    <x v="10"/>
    <x v="0"/>
    <n v="43"/>
    <s v="000.111.222-33"/>
    <x v="49"/>
  </r>
  <r>
    <n v="1161"/>
    <x v="74"/>
    <n v="64"/>
    <x v="45"/>
    <x v="1"/>
    <n v="43"/>
    <s v="251.309.674-61"/>
    <x v="50"/>
  </r>
  <r>
    <n v="1188"/>
    <x v="75"/>
    <n v="91"/>
    <x v="37"/>
    <x v="1"/>
    <n v="43"/>
    <s v="483.726.590-10"/>
    <x v="3"/>
  </r>
  <r>
    <n v="1002"/>
    <x v="76"/>
    <n v="4"/>
    <x v="6"/>
    <x v="1"/>
    <n v="42"/>
    <s v="901.234.567-89"/>
    <x v="32"/>
  </r>
  <r>
    <n v="1126"/>
    <x v="77"/>
    <n v="29"/>
    <x v="46"/>
    <x v="1"/>
    <n v="42"/>
    <s v="086.259.734-00"/>
    <x v="51"/>
  </r>
  <r>
    <n v="1191"/>
    <x v="78"/>
    <n v="94"/>
    <x v="17"/>
    <x v="1"/>
    <n v="42"/>
    <s v="418.973.265-64"/>
    <x v="52"/>
  </r>
  <r>
    <n v="1170"/>
    <x v="79"/>
    <n v="73"/>
    <x v="13"/>
    <x v="2"/>
    <n v="35"/>
    <s v="361.784.025-62"/>
    <x v="53"/>
  </r>
  <r>
    <n v="1020"/>
    <x v="80"/>
    <n v="22"/>
    <x v="47"/>
    <x v="2"/>
    <n v="34"/>
    <s v="823.491.507-04"/>
    <x v="34"/>
  </r>
  <r>
    <n v="1021"/>
    <x v="81"/>
    <n v="23"/>
    <x v="8"/>
    <x v="1"/>
    <n v="34"/>
    <s v="251.309.674-61"/>
    <x v="50"/>
  </r>
  <r>
    <n v="1053"/>
    <x v="82"/>
    <n v="55"/>
    <x v="48"/>
    <x v="1"/>
    <n v="34"/>
    <s v="197.843.205-41"/>
    <x v="36"/>
  </r>
  <r>
    <n v="1166"/>
    <x v="83"/>
    <n v="69"/>
    <x v="49"/>
    <x v="0"/>
    <n v="34"/>
    <s v="370.541.629-43"/>
    <x v="54"/>
  </r>
  <r>
    <n v="1196"/>
    <x v="84"/>
    <n v="99"/>
    <x v="6"/>
    <x v="1"/>
    <n v="34"/>
    <s v="086.259.734-00"/>
    <x v="51"/>
  </r>
  <r>
    <n v="1032"/>
    <x v="85"/>
    <n v="34"/>
    <x v="42"/>
    <x v="1"/>
    <n v="33"/>
    <s v="375.218.964-91"/>
    <x v="40"/>
  </r>
  <r>
    <n v="1058"/>
    <x v="86"/>
    <n v="60"/>
    <x v="50"/>
    <x v="0"/>
    <n v="33"/>
    <s v="539.672.081-68"/>
    <x v="55"/>
  </r>
  <r>
    <n v="1059"/>
    <x v="87"/>
    <n v="61"/>
    <x v="4"/>
    <x v="1"/>
    <n v="33"/>
    <s v="420.157.368-08"/>
    <x v="56"/>
  </r>
  <r>
    <n v="1067"/>
    <x v="88"/>
    <n v="69"/>
    <x v="49"/>
    <x v="0"/>
    <n v="33"/>
    <s v="270.345.168-71"/>
    <x v="33"/>
  </r>
  <r>
    <n v="1003"/>
    <x v="89"/>
    <n v="5"/>
    <x v="39"/>
    <x v="1"/>
    <n v="32"/>
    <s v="111.222.333-44"/>
    <x v="48"/>
  </r>
  <r>
    <n v="1017"/>
    <x v="90"/>
    <n v="19"/>
    <x v="43"/>
    <x v="2"/>
    <n v="32"/>
    <s v="888.999.000-11"/>
    <x v="57"/>
  </r>
  <r>
    <n v="1019"/>
    <x v="91"/>
    <n v="21"/>
    <x v="22"/>
    <x v="1"/>
    <n v="32"/>
    <s v="000.111.222-33"/>
    <x v="49"/>
  </r>
  <r>
    <n v="1025"/>
    <x v="92"/>
    <n v="27"/>
    <x v="40"/>
    <x v="1"/>
    <n v="32"/>
    <s v="783.160.452-90"/>
    <x v="58"/>
  </r>
  <r>
    <n v="1056"/>
    <x v="93"/>
    <n v="58"/>
    <x v="35"/>
    <x v="1"/>
    <n v="32"/>
    <s v="086.259.734-00"/>
    <x v="51"/>
  </r>
  <r>
    <n v="1057"/>
    <x v="94"/>
    <n v="59"/>
    <x v="19"/>
    <x v="1"/>
    <n v="32"/>
    <s v="296.018.354-15"/>
    <x v="59"/>
  </r>
  <r>
    <n v="1064"/>
    <x v="95"/>
    <n v="66"/>
    <x v="23"/>
    <x v="1"/>
    <n v="32"/>
    <s v="726.491.058-01"/>
    <x v="46"/>
  </r>
  <r>
    <n v="1075"/>
    <x v="96"/>
    <n v="77"/>
    <x v="51"/>
    <x v="0"/>
    <n v="32"/>
    <s v="999.000.111-22"/>
    <x v="18"/>
  </r>
  <r>
    <n v="1076"/>
    <x v="97"/>
    <n v="78"/>
    <x v="30"/>
    <x v="1"/>
    <n v="32"/>
    <s v="67.890.123-45"/>
    <x v="17"/>
  </r>
  <r>
    <n v="1077"/>
    <x v="98"/>
    <n v="79"/>
    <x v="52"/>
    <x v="0"/>
    <n v="32"/>
    <s v="456.789.012-34"/>
    <x v="27"/>
  </r>
  <r>
    <n v="1078"/>
    <x v="99"/>
    <n v="80"/>
    <x v="0"/>
    <x v="0"/>
    <n v="32"/>
    <s v="345.678.901-23"/>
    <x v="0"/>
  </r>
  <r>
    <n v="1079"/>
    <x v="100"/>
    <n v="81"/>
    <x v="43"/>
    <x v="2"/>
    <n v="32"/>
    <s v="234.567.890-12"/>
    <x v="23"/>
  </r>
  <r>
    <n v="1080"/>
    <x v="101"/>
    <n v="82"/>
    <x v="19"/>
    <x v="1"/>
    <n v="32"/>
    <s v="987.654.321-00"/>
    <x v="19"/>
  </r>
  <r>
    <n v="1081"/>
    <x v="102"/>
    <n v="83"/>
    <x v="44"/>
    <x v="1"/>
    <n v="32"/>
    <s v="123.456.789-01"/>
    <x v="11"/>
  </r>
  <r>
    <n v="1082"/>
    <x v="103"/>
    <n v="84"/>
    <x v="53"/>
    <x v="2"/>
    <n v="32"/>
    <s v="333.444.555-66"/>
    <x v="15"/>
  </r>
  <r>
    <n v="1083"/>
    <x v="104"/>
    <n v="85"/>
    <x v="54"/>
    <x v="1"/>
    <n v="32"/>
    <s v="444.555.666-77"/>
    <x v="1"/>
  </r>
  <r>
    <n v="1084"/>
    <x v="105"/>
    <n v="86"/>
    <x v="55"/>
    <x v="1"/>
    <n v="32"/>
    <s v="555.666.777-88"/>
    <x v="9"/>
  </r>
  <r>
    <n v="1085"/>
    <x v="106"/>
    <n v="87"/>
    <x v="56"/>
    <x v="1"/>
    <n v="32"/>
    <s v="666.777.888-99"/>
    <x v="2"/>
  </r>
  <r>
    <n v="1086"/>
    <x v="107"/>
    <n v="88"/>
    <x v="57"/>
    <x v="1"/>
    <n v="32"/>
    <s v="777.888.999-00"/>
    <x v="14"/>
  </r>
  <r>
    <n v="1087"/>
    <x v="108"/>
    <n v="89"/>
    <x v="43"/>
    <x v="2"/>
    <n v="32"/>
    <s v="888.999.000-11"/>
    <x v="57"/>
  </r>
  <r>
    <n v="1130"/>
    <x v="109"/>
    <n v="33"/>
    <x v="58"/>
    <x v="2"/>
    <n v="32"/>
    <s v="205.498.763-83"/>
    <x v="10"/>
  </r>
  <r>
    <n v="1132"/>
    <x v="110"/>
    <n v="35"/>
    <x v="37"/>
    <x v="1"/>
    <n v="32"/>
    <s v="081.362.794-03"/>
    <x v="60"/>
  </r>
  <r>
    <n v="1146"/>
    <x v="111"/>
    <n v="49"/>
    <x v="29"/>
    <x v="1"/>
    <n v="32"/>
    <s v="67.890.123-45"/>
    <x v="17"/>
  </r>
  <r>
    <n v="1150"/>
    <x v="112"/>
    <n v="53"/>
    <x v="59"/>
    <x v="1"/>
    <n v="32"/>
    <s v="987.654.321-00"/>
    <x v="19"/>
  </r>
  <r>
    <n v="1165"/>
    <x v="113"/>
    <n v="68"/>
    <x v="21"/>
    <x v="0"/>
    <n v="32"/>
    <s v="783.160.452-90"/>
    <x v="58"/>
  </r>
  <r>
    <n v="1176"/>
    <x v="114"/>
    <n v="79"/>
    <x v="52"/>
    <x v="0"/>
    <n v="32"/>
    <s v="958.610.274-20"/>
    <x v="42"/>
  </r>
  <r>
    <n v="1197"/>
    <x v="115"/>
    <n v="100"/>
    <x v="60"/>
    <x v="2"/>
    <n v="32"/>
    <s v="296.018.354-15"/>
    <x v="59"/>
  </r>
  <r>
    <n v="1172"/>
    <x v="116"/>
    <n v="75"/>
    <x v="47"/>
    <x v="2"/>
    <n v="24"/>
    <s v="375.218.964-91"/>
    <x v="40"/>
  </r>
  <r>
    <n v="1000"/>
    <x v="117"/>
    <n v="2"/>
    <x v="61"/>
    <x v="0"/>
    <n v="23"/>
    <s v="555.666.777-88"/>
    <x v="9"/>
  </r>
  <r>
    <n v="1023"/>
    <x v="118"/>
    <n v="25"/>
    <x v="19"/>
    <x v="1"/>
    <n v="23"/>
    <s v="791.506.823-77"/>
    <x v="24"/>
  </r>
  <r>
    <n v="1028"/>
    <x v="119"/>
    <n v="30"/>
    <x v="62"/>
    <x v="1"/>
    <n v="23"/>
    <s v="980.612.537-12"/>
    <x v="61"/>
  </r>
  <r>
    <n v="1030"/>
    <x v="120"/>
    <n v="32"/>
    <x v="9"/>
    <x v="0"/>
    <n v="23"/>
    <s v="361.784.025-62"/>
    <x v="53"/>
  </r>
  <r>
    <n v="1031"/>
    <x v="121"/>
    <n v="33"/>
    <x v="58"/>
    <x v="2"/>
    <n v="23"/>
    <s v="263.580.974-74"/>
    <x v="62"/>
  </r>
  <r>
    <n v="1034"/>
    <x v="122"/>
    <n v="36"/>
    <x v="33"/>
    <x v="1"/>
    <n v="23"/>
    <s v="230.419.567-99"/>
    <x v="41"/>
  </r>
  <r>
    <n v="1035"/>
    <x v="123"/>
    <n v="37"/>
    <x v="43"/>
    <x v="2"/>
    <n v="23"/>
    <s v="085.319.467-00"/>
    <x v="31"/>
  </r>
  <r>
    <n v="1042"/>
    <x v="124"/>
    <n v="44"/>
    <x v="37"/>
    <x v="1"/>
    <n v="23"/>
    <s v="173.246.890-78"/>
    <x v="63"/>
  </r>
  <r>
    <n v="1128"/>
    <x v="125"/>
    <n v="31"/>
    <x v="28"/>
    <x v="1"/>
    <n v="23"/>
    <s v="539.672.081-68"/>
    <x v="55"/>
  </r>
  <r>
    <n v="1129"/>
    <x v="126"/>
    <n v="32"/>
    <x v="9"/>
    <x v="0"/>
    <n v="23"/>
    <s v="420.157.368-08"/>
    <x v="56"/>
  </r>
  <r>
    <n v="1149"/>
    <x v="127"/>
    <n v="52"/>
    <x v="8"/>
    <x v="1"/>
    <n v="23"/>
    <s v="234.567.890-12"/>
    <x v="23"/>
  </r>
  <r>
    <n v="1152"/>
    <x v="128"/>
    <n v="55"/>
    <x v="48"/>
    <x v="1"/>
    <n v="23"/>
    <s v="333.444.555-66"/>
    <x v="15"/>
  </r>
  <r>
    <n v="1157"/>
    <x v="129"/>
    <n v="60"/>
    <x v="50"/>
    <x v="0"/>
    <n v="23"/>
    <s v="888.999.000-11"/>
    <x v="57"/>
  </r>
  <r>
    <n v="1158"/>
    <x v="130"/>
    <n v="61"/>
    <x v="4"/>
    <x v="1"/>
    <n v="23"/>
    <s v="999.000.111-22"/>
    <x v="18"/>
  </r>
  <r>
    <n v="1171"/>
    <x v="131"/>
    <n v="74"/>
    <x v="63"/>
    <x v="1"/>
    <n v="23"/>
    <s v="263.580.974-74"/>
    <x v="62"/>
  </r>
  <r>
    <n v="1180"/>
    <x v="132"/>
    <n v="83"/>
    <x v="44"/>
    <x v="1"/>
    <n v="23"/>
    <s v="984.037.625-00"/>
    <x v="7"/>
  </r>
  <r>
    <n v="1189"/>
    <x v="133"/>
    <n v="92"/>
    <x v="23"/>
    <x v="1"/>
    <n v="23"/>
    <s v="641.879.203-31"/>
    <x v="5"/>
  </r>
  <r>
    <n v="1195"/>
    <x v="134"/>
    <n v="98"/>
    <x v="28"/>
    <x v="1"/>
    <n v="23"/>
    <s v="056.124.398-06"/>
    <x v="45"/>
  </r>
  <r>
    <n v="1198"/>
    <x v="135"/>
    <n v="99"/>
    <x v="6"/>
    <x v="1"/>
    <n v="23"/>
    <s v="539.672.081-68"/>
    <x v="55"/>
  </r>
  <r>
    <n v="1029"/>
    <x v="136"/>
    <n v="31"/>
    <x v="28"/>
    <x v="1"/>
    <n v="22"/>
    <s v="894.152.630-24"/>
    <x v="64"/>
  </r>
  <r>
    <n v="1062"/>
    <x v="137"/>
    <n v="64"/>
    <x v="45"/>
    <x v="1"/>
    <n v="22"/>
    <s v="081.362.794-03"/>
    <x v="60"/>
  </r>
  <r>
    <n v="1065"/>
    <x v="138"/>
    <n v="67"/>
    <x v="35"/>
    <x v="1"/>
    <n v="22"/>
    <s v="658.302.971-59"/>
    <x v="47"/>
  </r>
  <r>
    <n v="1072"/>
    <x v="139"/>
    <n v="74"/>
    <x v="63"/>
    <x v="1"/>
    <n v="22"/>
    <s v="901.234.567-89"/>
    <x v="32"/>
  </r>
  <r>
    <n v="1073"/>
    <x v="140"/>
    <n v="75"/>
    <x v="47"/>
    <x v="2"/>
    <n v="22"/>
    <s v="111.222.333-44"/>
    <x v="48"/>
  </r>
  <r>
    <n v="1074"/>
    <x v="141"/>
    <n v="76"/>
    <x v="28"/>
    <x v="1"/>
    <n v="22"/>
    <s v="666.777.888-99"/>
    <x v="2"/>
  </r>
  <r>
    <n v="1088"/>
    <x v="142"/>
    <n v="90"/>
    <x v="31"/>
    <x v="1"/>
    <n v="22"/>
    <s v="999.000.111-22"/>
    <x v="18"/>
  </r>
  <r>
    <n v="1089"/>
    <x v="143"/>
    <n v="91"/>
    <x v="37"/>
    <x v="1"/>
    <n v="22"/>
    <s v="000.111.222-33"/>
    <x v="49"/>
  </r>
  <r>
    <n v="1090"/>
    <x v="144"/>
    <n v="92"/>
    <x v="23"/>
    <x v="1"/>
    <n v="22"/>
    <s v="823.491.507-04"/>
    <x v="34"/>
  </r>
  <r>
    <n v="1091"/>
    <x v="145"/>
    <n v="93"/>
    <x v="22"/>
    <x v="1"/>
    <n v="22"/>
    <s v="251.309.674-61"/>
    <x v="50"/>
  </r>
  <r>
    <n v="1092"/>
    <x v="146"/>
    <n v="94"/>
    <x v="17"/>
    <x v="2"/>
    <n v="22"/>
    <s v="572.103.846-26"/>
    <x v="35"/>
  </r>
  <r>
    <n v="1093"/>
    <x v="147"/>
    <n v="95"/>
    <x v="64"/>
    <x v="1"/>
    <n v="22"/>
    <s v="791.506.823-77"/>
    <x v="24"/>
  </r>
  <r>
    <n v="1094"/>
    <x v="148"/>
    <n v="96"/>
    <x v="13"/>
    <x v="2"/>
    <n v="22"/>
    <s v="685.079.431-01"/>
    <x v="25"/>
  </r>
  <r>
    <n v="1095"/>
    <x v="149"/>
    <n v="97"/>
    <x v="0"/>
    <x v="0"/>
    <n v="22"/>
    <s v="783.160.452-90"/>
    <x v="58"/>
  </r>
  <r>
    <n v="1096"/>
    <x v="150"/>
    <n v="98"/>
    <x v="28"/>
    <x v="1"/>
    <n v="22"/>
    <s v="370.541.629-43"/>
    <x v="54"/>
  </r>
  <r>
    <n v="1097"/>
    <x v="151"/>
    <n v="99"/>
    <x v="6"/>
    <x v="1"/>
    <n v="22"/>
    <s v="678.914.302-50"/>
    <x v="65"/>
  </r>
  <r>
    <n v="1098"/>
    <x v="152"/>
    <n v="100"/>
    <x v="60"/>
    <x v="2"/>
    <n v="22"/>
    <s v="980.612.537-12"/>
    <x v="61"/>
  </r>
  <r>
    <n v="1099"/>
    <x v="153"/>
    <n v="2"/>
    <x v="61"/>
    <x v="0"/>
    <n v="22"/>
    <s v="894.152.630-24"/>
    <x v="64"/>
  </r>
  <r>
    <n v="1100"/>
    <x v="154"/>
    <n v="3"/>
    <x v="9"/>
    <x v="0"/>
    <n v="22"/>
    <s v="361.784.025-62"/>
    <x v="53"/>
  </r>
  <r>
    <n v="1101"/>
    <x v="155"/>
    <n v="4"/>
    <x v="6"/>
    <x v="1"/>
    <n v="22"/>
    <s v="263.580.974-74"/>
    <x v="62"/>
  </r>
  <r>
    <n v="1111"/>
    <x v="156"/>
    <n v="14"/>
    <x v="15"/>
    <x v="1"/>
    <n v="22"/>
    <s v="346.507.918-39"/>
    <x v="13"/>
  </r>
  <r>
    <n v="1112"/>
    <x v="157"/>
    <n v="15"/>
    <x v="1"/>
    <x v="1"/>
    <n v="22"/>
    <s v="173.246.890-78"/>
    <x v="63"/>
  </r>
  <r>
    <n v="1113"/>
    <x v="158"/>
    <n v="16"/>
    <x v="1"/>
    <x v="1"/>
    <n v="22"/>
    <s v="103.462.879-87"/>
    <x v="66"/>
  </r>
  <r>
    <n v="1114"/>
    <x v="159"/>
    <n v="17"/>
    <x v="2"/>
    <x v="0"/>
    <n v="22"/>
    <s v="015.986.734-75"/>
    <x v="16"/>
  </r>
  <r>
    <n v="1115"/>
    <x v="160"/>
    <n v="18"/>
    <x v="14"/>
    <x v="1"/>
    <n v="22"/>
    <s v="269.847.310-03"/>
    <x v="6"/>
  </r>
  <r>
    <n v="1116"/>
    <x v="161"/>
    <n v="19"/>
    <x v="43"/>
    <x v="2"/>
    <n v="22"/>
    <s v="813.524.607-26"/>
    <x v="29"/>
  </r>
  <r>
    <n v="1117"/>
    <x v="162"/>
    <n v="20"/>
    <x v="30"/>
    <x v="1"/>
    <n v="22"/>
    <s v="475.913.260-07"/>
    <x v="30"/>
  </r>
  <r>
    <n v="1118"/>
    <x v="163"/>
    <n v="21"/>
    <x v="22"/>
    <x v="1"/>
    <n v="22"/>
    <s v="483.726.590-10"/>
    <x v="3"/>
  </r>
  <r>
    <n v="1119"/>
    <x v="164"/>
    <n v="22"/>
    <x v="47"/>
    <x v="2"/>
    <n v="22"/>
    <s v="641.879.203-31"/>
    <x v="5"/>
  </r>
  <r>
    <n v="1182"/>
    <x v="165"/>
    <n v="85"/>
    <x v="54"/>
    <x v="1"/>
    <n v="22"/>
    <s v="173.246.890-78"/>
    <x v="63"/>
  </r>
  <r>
    <n v="1026"/>
    <x v="166"/>
    <n v="28"/>
    <x v="41"/>
    <x v="1"/>
    <n v="21"/>
    <s v="370.541.629-43"/>
    <x v="54"/>
  </r>
  <r>
    <n v="1179"/>
    <x v="167"/>
    <n v="82"/>
    <x v="19"/>
    <x v="1"/>
    <n v="21"/>
    <s v="837.216.509-21"/>
    <x v="28"/>
  </r>
  <r>
    <n v="1022"/>
    <x v="168"/>
    <n v="24"/>
    <x v="40"/>
    <x v="1"/>
    <n v="12"/>
    <s v="572.103.846-26"/>
    <x v="35"/>
  </r>
  <r>
    <n v="1027"/>
    <x v="169"/>
    <n v="29"/>
    <x v="46"/>
    <x v="1"/>
    <n v="12"/>
    <s v="678.914.302-50"/>
    <x v="65"/>
  </r>
  <r>
    <n v="1033"/>
    <x v="170"/>
    <n v="35"/>
    <x v="37"/>
    <x v="1"/>
    <n v="12"/>
    <s v="245.308.716-90"/>
    <x v="37"/>
  </r>
  <r>
    <n v="1036"/>
    <x v="171"/>
    <n v="38"/>
    <x v="44"/>
    <x v="1"/>
    <n v="12"/>
    <s v="958.610.274-20"/>
    <x v="42"/>
  </r>
  <r>
    <n v="1043"/>
    <x v="172"/>
    <n v="45"/>
    <x v="1"/>
    <x v="1"/>
    <n v="12"/>
    <s v="103.462.879-87"/>
    <x v="66"/>
  </r>
  <r>
    <n v="1051"/>
    <x v="173"/>
    <n v="53"/>
    <x v="59"/>
    <x v="1"/>
    <n v="12"/>
    <s v="418.973.265-64"/>
    <x v="52"/>
  </r>
  <r>
    <n v="1055"/>
    <x v="174"/>
    <n v="57"/>
    <x v="34"/>
    <x v="1"/>
    <n v="12"/>
    <s v="056.124.398-06"/>
    <x v="45"/>
  </r>
  <r>
    <n v="1120"/>
    <x v="175"/>
    <n v="23"/>
    <x v="8"/>
    <x v="1"/>
    <n v="12"/>
    <s v="275.031.648-08"/>
    <x v="8"/>
  </r>
  <r>
    <n v="1121"/>
    <x v="176"/>
    <n v="24"/>
    <x v="40"/>
    <x v="1"/>
    <n v="12"/>
    <s v="418.973.265-64"/>
    <x v="52"/>
  </r>
  <r>
    <n v="1122"/>
    <x v="177"/>
    <n v="25"/>
    <x v="19"/>
    <x v="1"/>
    <n v="12"/>
    <s v="304.562.781-17"/>
    <x v="38"/>
  </r>
  <r>
    <n v="1123"/>
    <x v="178"/>
    <n v="26"/>
    <x v="24"/>
    <x v="1"/>
    <n v="12"/>
    <s v="197.843.205-41"/>
    <x v="36"/>
  </r>
  <r>
    <n v="1127"/>
    <x v="179"/>
    <n v="30"/>
    <x v="62"/>
    <x v="1"/>
    <n v="12"/>
    <s v="296.018.354-15"/>
    <x v="59"/>
  </r>
  <r>
    <n v="1144"/>
    <x v="180"/>
    <n v="47"/>
    <x v="6"/>
    <x v="1"/>
    <n v="12"/>
    <s v="666.777.888-99"/>
    <x v="2"/>
  </r>
  <r>
    <n v="1147"/>
    <x v="181"/>
    <n v="50"/>
    <x v="3"/>
    <x v="1"/>
    <n v="12"/>
    <s v="456.789.012-34"/>
    <x v="27"/>
  </r>
  <r>
    <n v="1167"/>
    <x v="182"/>
    <n v="70"/>
    <x v="22"/>
    <x v="1"/>
    <n v="12"/>
    <s v="678.914.302-50"/>
    <x v="65"/>
  </r>
  <r>
    <n v="1168"/>
    <x v="183"/>
    <n v="71"/>
    <x v="5"/>
    <x v="0"/>
    <n v="12"/>
    <s v="980.612.537-12"/>
    <x v="61"/>
  </r>
  <r>
    <n v="1169"/>
    <x v="184"/>
    <n v="72"/>
    <x v="16"/>
    <x v="3"/>
    <n v="12"/>
    <s v="894.152.630-24"/>
    <x v="64"/>
  </r>
  <r>
    <n v="1174"/>
    <x v="185"/>
    <n v="77"/>
    <x v="51"/>
    <x v="0"/>
    <n v="12"/>
    <s v="230.419.567-99"/>
    <x v="41"/>
  </r>
  <r>
    <n v="1178"/>
    <x v="186"/>
    <n v="81"/>
    <x v="43"/>
    <x v="2"/>
    <n v="12"/>
    <s v="875.612.903-30"/>
    <x v="44"/>
  </r>
  <r>
    <n v="1181"/>
    <x v="187"/>
    <n v="84"/>
    <x v="53"/>
    <x v="2"/>
    <n v="12"/>
    <s v="346.507.918-39"/>
    <x v="13"/>
  </r>
  <r>
    <n v="1185"/>
    <x v="188"/>
    <n v="88"/>
    <x v="57"/>
    <x v="1"/>
    <n v="12"/>
    <s v="269.847.310-03"/>
    <x v="6"/>
  </r>
  <r>
    <n v="1187"/>
    <x v="189"/>
    <n v="90"/>
    <x v="31"/>
    <x v="1"/>
    <n v="12"/>
    <s v="475.913.260-07"/>
    <x v="30"/>
  </r>
  <r>
    <n v="1037"/>
    <x v="190"/>
    <n v="39"/>
    <x v="36"/>
    <x v="0"/>
    <n v="11"/>
    <s v="451.763.982-73"/>
    <x v="43"/>
  </r>
  <r>
    <n v="1038"/>
    <x v="191"/>
    <n v="40"/>
    <x v="31"/>
    <x v="1"/>
    <n v="11"/>
    <s v="875.612.903-30"/>
    <x v="44"/>
  </r>
  <r>
    <n v="1140"/>
    <x v="192"/>
    <n v="43"/>
    <x v="12"/>
    <x v="1"/>
    <n v="8"/>
    <s v="555.666.777-88"/>
    <x v="9"/>
  </r>
  <r>
    <n v="1192"/>
    <x v="193"/>
    <n v="95"/>
    <x v="64"/>
    <x v="1"/>
    <n v="8"/>
    <s v="304.562.781-17"/>
    <x v="38"/>
  </r>
  <r>
    <n v="1190"/>
    <x v="194"/>
    <n v="93"/>
    <x v="22"/>
    <x v="1"/>
    <n v="6"/>
    <s v="275.031.648-08"/>
    <x v="8"/>
  </r>
  <r>
    <n v="1199"/>
    <x v="195"/>
    <n v="100"/>
    <x v="60"/>
    <x v="2"/>
    <n v="6"/>
    <s v="420.157.368-08"/>
    <x v="56"/>
  </r>
  <r>
    <n v="1177"/>
    <x v="196"/>
    <n v="80"/>
    <x v="0"/>
    <x v="0"/>
    <n v="3"/>
    <s v="451.763.982-73"/>
    <x v="43"/>
  </r>
  <r>
    <n v="1183"/>
    <x v="197"/>
    <n v="86"/>
    <x v="55"/>
    <x v="1"/>
    <n v="3"/>
    <s v="103.462.879-87"/>
    <x v="66"/>
  </r>
  <r>
    <n v="1184"/>
    <x v="198"/>
    <n v="87"/>
    <x v="56"/>
    <x v="2"/>
    <n v="3"/>
    <s v="015.986.734-75"/>
    <x v="16"/>
  </r>
  <r>
    <n v="1186"/>
    <x v="199"/>
    <n v="89"/>
    <x v="43"/>
    <x v="2"/>
    <n v="3"/>
    <s v="813.524.607-26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688142-9591-4FBA-AC4A-74F90E0D7251}" name="Tabela dinâmica13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264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showAll="0"/>
    <pivotField dataField="1" showAll="0"/>
    <pivotField showAll="0"/>
    <pivotField axis="axisRow" showAll="0">
      <items count="68">
        <item x="63"/>
        <item x="36"/>
        <item x="26"/>
        <item x="10"/>
        <item x="52"/>
        <item x="34"/>
        <item x="65"/>
        <item x="11"/>
        <item x="62"/>
        <item x="37"/>
        <item x="40"/>
        <item x="12"/>
        <item x="21"/>
        <item x="27"/>
        <item x="15"/>
        <item x="43"/>
        <item x="30"/>
        <item x="14"/>
        <item x="58"/>
        <item x="64"/>
        <item x="38"/>
        <item x="25"/>
        <item x="61"/>
        <item x="1"/>
        <item x="33"/>
        <item x="49"/>
        <item x="46"/>
        <item x="23"/>
        <item x="3"/>
        <item x="28"/>
        <item x="18"/>
        <item x="54"/>
        <item x="51"/>
        <item x="44"/>
        <item x="41"/>
        <item x="19"/>
        <item x="66"/>
        <item x="45"/>
        <item x="39"/>
        <item x="24"/>
        <item x="8"/>
        <item x="31"/>
        <item x="4"/>
        <item x="56"/>
        <item x="32"/>
        <item x="53"/>
        <item x="0"/>
        <item x="29"/>
        <item x="47"/>
        <item x="7"/>
        <item x="35"/>
        <item x="59"/>
        <item x="9"/>
        <item x="17"/>
        <item x="50"/>
        <item x="60"/>
        <item x="22"/>
        <item x="55"/>
        <item x="5"/>
        <item x="16"/>
        <item x="6"/>
        <item x="42"/>
        <item x="48"/>
        <item x="2"/>
        <item x="57"/>
        <item x="13"/>
        <item x="2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7"/>
    <field x="3"/>
  </rowFields>
  <rowItems count="261">
    <i>
      <x/>
    </i>
    <i r="1">
      <x v="26"/>
    </i>
    <i r="1">
      <x v="54"/>
    </i>
    <i r="1">
      <x v="59"/>
    </i>
    <i>
      <x v="1"/>
    </i>
    <i r="1">
      <x v="13"/>
    </i>
    <i r="1">
      <x v="16"/>
    </i>
    <i r="1">
      <x v="40"/>
    </i>
    <i>
      <x v="2"/>
    </i>
    <i r="1">
      <x v="50"/>
    </i>
    <i r="1">
      <x v="64"/>
    </i>
    <i>
      <x v="3"/>
    </i>
    <i r="1">
      <x v="21"/>
    </i>
    <i r="1">
      <x v="61"/>
    </i>
    <i>
      <x v="4"/>
    </i>
    <i r="1">
      <x v="27"/>
    </i>
    <i r="1">
      <x v="57"/>
    </i>
    <i r="1">
      <x v="63"/>
    </i>
    <i>
      <x v="5"/>
    </i>
    <i r="1">
      <x v="6"/>
    </i>
    <i r="1">
      <x v="11"/>
    </i>
    <i r="1">
      <x v="30"/>
    </i>
    <i>
      <x v="6"/>
    </i>
    <i r="1">
      <x v="15"/>
    </i>
    <i r="1">
      <x v="36"/>
    </i>
    <i r="1">
      <x v="42"/>
    </i>
    <i>
      <x v="7"/>
    </i>
    <i r="1">
      <x v="12"/>
    </i>
    <i r="1">
      <x v="31"/>
    </i>
    <i r="1">
      <x v="41"/>
    </i>
    <i>
      <x v="8"/>
    </i>
    <i r="1">
      <x v="15"/>
    </i>
    <i r="1">
      <x v="37"/>
    </i>
    <i r="1">
      <x v="61"/>
    </i>
    <i>
      <x v="9"/>
    </i>
    <i r="1">
      <x v="19"/>
    </i>
    <i r="1">
      <x v="24"/>
    </i>
    <i r="1">
      <x v="59"/>
    </i>
    <i>
      <x v="10"/>
    </i>
    <i r="1">
      <x v="9"/>
    </i>
    <i r="1">
      <x v="30"/>
    </i>
    <i r="1">
      <x v="39"/>
    </i>
    <i>
      <x v="11"/>
    </i>
    <i r="1">
      <x v="13"/>
    </i>
    <i r="1">
      <x v="19"/>
    </i>
    <i r="1">
      <x v="59"/>
    </i>
    <i>
      <x v="12"/>
    </i>
    <i r="1">
      <x v="38"/>
    </i>
    <i r="1">
      <x v="42"/>
    </i>
    <i>
      <x v="13"/>
    </i>
    <i r="1">
      <x v="7"/>
    </i>
    <i r="1">
      <x v="48"/>
    </i>
    <i r="1">
      <x v="56"/>
    </i>
    <i>
      <x v="14"/>
    </i>
    <i r="1">
      <x v="40"/>
    </i>
    <i r="1">
      <x v="49"/>
    </i>
    <i r="1">
      <x v="53"/>
    </i>
    <i>
      <x v="15"/>
    </i>
    <i r="1">
      <x v="43"/>
    </i>
    <i r="1">
      <x v="45"/>
    </i>
    <i>
      <x v="16"/>
    </i>
    <i r="1">
      <x v="28"/>
    </i>
    <i r="1">
      <x v="44"/>
    </i>
    <i r="1">
      <x v="62"/>
    </i>
    <i>
      <x v="17"/>
    </i>
    <i r="1">
      <x/>
    </i>
    <i r="1">
      <x v="20"/>
    </i>
    <i r="1">
      <x v="58"/>
    </i>
    <i>
      <x v="18"/>
    </i>
    <i r="1">
      <x v="25"/>
    </i>
    <i r="1">
      <x v="45"/>
    </i>
    <i r="1">
      <x v="63"/>
    </i>
    <i>
      <x v="19"/>
    </i>
    <i r="1">
      <x v="17"/>
    </i>
    <i r="1">
      <x v="23"/>
    </i>
    <i r="1">
      <x v="24"/>
    </i>
    <i>
      <x v="20"/>
    </i>
    <i r="1">
      <x/>
    </i>
    <i r="1">
      <x v="8"/>
    </i>
    <i r="1">
      <x v="31"/>
    </i>
    <i>
      <x v="21"/>
    </i>
    <i r="1">
      <x v="13"/>
    </i>
    <i r="1">
      <x v="16"/>
    </i>
    <i r="1">
      <x v="22"/>
    </i>
    <i>
      <x v="22"/>
    </i>
    <i r="1">
      <x v="3"/>
    </i>
    <i r="1">
      <x v="10"/>
    </i>
    <i r="1">
      <x v="52"/>
    </i>
    <i>
      <x v="23"/>
    </i>
    <i r="1">
      <x v="2"/>
    </i>
    <i r="1">
      <x v="26"/>
    </i>
    <i r="1">
      <x v="54"/>
    </i>
    <i>
      <x v="24"/>
    </i>
    <i r="1">
      <x v="18"/>
    </i>
    <i r="1">
      <x v="62"/>
    </i>
    <i>
      <x v="25"/>
    </i>
    <i r="1">
      <x v="21"/>
    </i>
    <i r="1">
      <x v="42"/>
    </i>
    <i r="1">
      <x v="59"/>
    </i>
    <i>
      <x v="26"/>
    </i>
    <i r="1">
      <x v="11"/>
    </i>
    <i r="1">
      <x v="32"/>
    </i>
    <i>
      <x v="27"/>
    </i>
    <i r="1">
      <x v="29"/>
    </i>
    <i r="1">
      <x v="32"/>
    </i>
    <i r="1">
      <x v="60"/>
    </i>
    <i>
      <x v="28"/>
    </i>
    <i r="1">
      <x v="7"/>
    </i>
    <i r="1">
      <x v="42"/>
    </i>
    <i r="1">
      <x v="59"/>
    </i>
    <i>
      <x v="29"/>
    </i>
    <i r="1">
      <x/>
    </i>
    <i r="1">
      <x v="35"/>
    </i>
    <i r="1">
      <x v="38"/>
    </i>
    <i>
      <x v="30"/>
    </i>
    <i r="1">
      <x/>
    </i>
    <i r="1">
      <x v="2"/>
    </i>
    <i r="1">
      <x v="14"/>
    </i>
    <i r="1">
      <x v="24"/>
    </i>
    <i r="1">
      <x v="44"/>
    </i>
    <i r="1">
      <x v="62"/>
    </i>
    <i>
      <x v="31"/>
    </i>
    <i r="1">
      <x v="5"/>
    </i>
    <i r="1">
      <x v="18"/>
    </i>
    <i r="1">
      <x v="24"/>
    </i>
    <i>
      <x v="32"/>
    </i>
    <i r="1">
      <x v="15"/>
    </i>
    <i r="1">
      <x v="22"/>
    </i>
    <i r="1">
      <x v="36"/>
    </i>
    <i>
      <x v="33"/>
    </i>
    <i r="1">
      <x v="32"/>
    </i>
    <i r="1">
      <x v="60"/>
    </i>
    <i r="1">
      <x v="62"/>
    </i>
    <i>
      <x v="34"/>
    </i>
    <i r="1">
      <x/>
    </i>
    <i r="1">
      <x v="14"/>
    </i>
    <i r="1">
      <x v="50"/>
    </i>
    <i>
      <x v="35"/>
    </i>
    <i r="1">
      <x/>
    </i>
    <i r="1">
      <x v="27"/>
    </i>
    <i r="1">
      <x v="35"/>
    </i>
    <i>
      <x v="36"/>
    </i>
    <i r="1">
      <x v="26"/>
    </i>
    <i r="1">
      <x v="33"/>
    </i>
    <i>
      <x v="37"/>
    </i>
    <i r="1">
      <x v="4"/>
    </i>
    <i r="1">
      <x v="5"/>
    </i>
    <i r="1">
      <x v="24"/>
    </i>
    <i>
      <x v="38"/>
    </i>
    <i r="1">
      <x v="6"/>
    </i>
    <i r="1">
      <x v="9"/>
    </i>
    <i>
      <x v="39"/>
    </i>
    <i r="1">
      <x/>
    </i>
    <i r="1">
      <x v="8"/>
    </i>
    <i r="1">
      <x v="11"/>
    </i>
    <i>
      <x v="40"/>
    </i>
    <i r="1">
      <x v="29"/>
    </i>
    <i r="1">
      <x v="42"/>
    </i>
    <i>
      <x v="41"/>
    </i>
    <i r="1">
      <x v="32"/>
    </i>
    <i r="1">
      <x v="44"/>
    </i>
    <i r="1">
      <x v="60"/>
    </i>
    <i>
      <x v="42"/>
    </i>
    <i r="1">
      <x v="2"/>
    </i>
    <i r="1">
      <x v="45"/>
    </i>
    <i r="1">
      <x v="63"/>
    </i>
    <i>
      <x v="43"/>
    </i>
    <i r="1">
      <x v="2"/>
    </i>
    <i r="1">
      <x v="10"/>
    </i>
    <i r="1">
      <x v="19"/>
    </i>
    <i>
      <x v="44"/>
    </i>
    <i r="1">
      <x v="15"/>
    </i>
    <i r="1">
      <x v="26"/>
    </i>
    <i r="1">
      <x v="37"/>
    </i>
    <i>
      <x v="45"/>
    </i>
    <i r="1">
      <x v="13"/>
    </i>
    <i r="1">
      <x v="19"/>
    </i>
    <i>
      <x v="46"/>
    </i>
    <i r="1">
      <x v="3"/>
    </i>
    <i r="1">
      <x v="45"/>
    </i>
    <i>
      <x v="47"/>
    </i>
    <i r="1">
      <x v="24"/>
    </i>
    <i r="1">
      <x v="32"/>
    </i>
    <i>
      <x v="48"/>
    </i>
    <i r="1">
      <x v="12"/>
    </i>
    <i r="1">
      <x v="22"/>
    </i>
    <i>
      <x v="49"/>
    </i>
    <i r="1">
      <x v="12"/>
    </i>
    <i r="1">
      <x v="34"/>
    </i>
    <i r="1">
      <x v="41"/>
    </i>
    <i>
      <x v="50"/>
    </i>
    <i r="1">
      <x v="57"/>
    </i>
    <i r="1">
      <x v="63"/>
    </i>
    <i r="1">
      <x v="64"/>
    </i>
    <i>
      <x v="51"/>
    </i>
    <i r="1">
      <x/>
    </i>
    <i r="1">
      <x v="10"/>
    </i>
    <i r="1">
      <x v="52"/>
    </i>
    <i>
      <x v="52"/>
    </i>
    <i r="1">
      <x v="4"/>
    </i>
    <i r="1">
      <x v="17"/>
    </i>
    <i r="1">
      <x v="23"/>
    </i>
    <i r="1">
      <x v="26"/>
    </i>
    <i r="1">
      <x v="33"/>
    </i>
    <i r="1">
      <x v="51"/>
    </i>
    <i>
      <x v="53"/>
    </i>
    <i r="1">
      <x v="28"/>
    </i>
    <i r="1">
      <x v="44"/>
    </i>
    <i r="1">
      <x v="60"/>
    </i>
    <i>
      <x v="54"/>
    </i>
    <i r="1">
      <x v="29"/>
    </i>
    <i r="1">
      <x v="42"/>
    </i>
    <i r="1">
      <x v="47"/>
    </i>
    <i>
      <x v="55"/>
    </i>
    <i r="1">
      <x v="47"/>
    </i>
    <i r="1">
      <x v="59"/>
    </i>
    <i>
      <x v="56"/>
    </i>
    <i r="1">
      <x v="3"/>
    </i>
    <i r="1">
      <x v="34"/>
    </i>
    <i>
      <x v="57"/>
    </i>
    <i r="1">
      <x v="1"/>
    </i>
    <i r="1">
      <x v="15"/>
    </i>
    <i r="1">
      <x v="24"/>
    </i>
    <i>
      <x v="58"/>
    </i>
    <i r="1">
      <x v="3"/>
    </i>
    <i r="1">
      <x v="11"/>
    </i>
    <i r="1">
      <x v="30"/>
    </i>
    <i>
      <x v="59"/>
    </i>
    <i r="1">
      <x v="46"/>
    </i>
    <i r="1">
      <x v="55"/>
    </i>
    <i r="1">
      <x v="57"/>
    </i>
    <i>
      <x v="60"/>
    </i>
    <i r="1">
      <x v="15"/>
    </i>
    <i r="1">
      <x v="20"/>
    </i>
    <i r="1">
      <x v="58"/>
    </i>
    <i>
      <x v="61"/>
    </i>
    <i r="1">
      <x v="12"/>
    </i>
    <i r="1">
      <x v="48"/>
    </i>
    <i r="1">
      <x v="56"/>
    </i>
    <i>
      <x v="62"/>
    </i>
    <i r="1">
      <x v="30"/>
    </i>
    <i r="1">
      <x v="39"/>
    </i>
    <i r="1">
      <x v="57"/>
    </i>
    <i>
      <x v="63"/>
    </i>
    <i r="1">
      <x v="15"/>
    </i>
    <i r="1">
      <x v="19"/>
    </i>
    <i r="1">
      <x v="22"/>
    </i>
    <i r="1">
      <x v="24"/>
    </i>
    <i r="1">
      <x v="46"/>
    </i>
    <i r="1">
      <x v="55"/>
    </i>
    <i>
      <x v="64"/>
    </i>
    <i r="1">
      <x v="1"/>
    </i>
    <i r="1">
      <x v="32"/>
    </i>
    <i>
      <x v="65"/>
    </i>
    <i r="1">
      <x v="49"/>
    </i>
    <i r="1">
      <x v="51"/>
    </i>
    <i r="1">
      <x v="53"/>
    </i>
    <i>
      <x v="66"/>
    </i>
    <i r="1">
      <x v="25"/>
    </i>
    <i r="1">
      <x v="43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C9FE5B-04BE-4697-8EE9-D9E0EE29EADB}" name="Tabela dinâmica14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262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showAll="0"/>
    <pivotField dataField="1" showAll="0"/>
    <pivotField showAll="0"/>
    <pivotField axis="axisRow" showAll="0">
      <items count="68">
        <item x="63"/>
        <item x="36"/>
        <item x="26"/>
        <item x="10"/>
        <item x="52"/>
        <item x="34"/>
        <item x="65"/>
        <item x="11"/>
        <item x="62"/>
        <item x="37"/>
        <item x="40"/>
        <item x="12"/>
        <item x="21"/>
        <item x="27"/>
        <item x="15"/>
        <item x="43"/>
        <item x="30"/>
        <item x="14"/>
        <item x="58"/>
        <item x="64"/>
        <item x="38"/>
        <item x="25"/>
        <item x="61"/>
        <item x="1"/>
        <item x="33"/>
        <item x="49"/>
        <item x="46"/>
        <item x="23"/>
        <item x="3"/>
        <item x="28"/>
        <item x="18"/>
        <item x="54"/>
        <item x="51"/>
        <item x="44"/>
        <item x="41"/>
        <item x="19"/>
        <item x="66"/>
        <item x="45"/>
        <item x="39"/>
        <item x="24"/>
        <item x="8"/>
        <item x="31"/>
        <item x="4"/>
        <item x="56"/>
        <item x="32"/>
        <item x="53"/>
        <item x="0"/>
        <item x="29"/>
        <item x="47"/>
        <item x="7"/>
        <item x="35"/>
        <item x="59"/>
        <item x="9"/>
        <item x="17"/>
        <item x="50"/>
        <item x="60"/>
        <item x="22"/>
        <item x="55"/>
        <item x="5"/>
        <item x="16"/>
        <item x="6"/>
        <item x="42"/>
        <item x="48"/>
        <item x="2"/>
        <item x="57"/>
        <item x="13"/>
        <item x="2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3"/>
    <field x="7"/>
  </rowFields>
  <rowItems count="259">
    <i>
      <x/>
    </i>
    <i r="1">
      <x v="17"/>
    </i>
    <i r="1">
      <x v="20"/>
    </i>
    <i r="1">
      <x v="29"/>
    </i>
    <i r="1">
      <x v="30"/>
    </i>
    <i r="1">
      <x v="34"/>
    </i>
    <i r="1">
      <x v="35"/>
    </i>
    <i r="1">
      <x v="39"/>
    </i>
    <i r="1">
      <x v="51"/>
    </i>
    <i>
      <x v="1"/>
    </i>
    <i r="1">
      <x v="57"/>
    </i>
    <i r="1">
      <x v="64"/>
    </i>
    <i>
      <x v="2"/>
    </i>
    <i r="1">
      <x v="23"/>
    </i>
    <i r="1">
      <x v="30"/>
    </i>
    <i r="1">
      <x v="42"/>
    </i>
    <i r="1">
      <x v="43"/>
    </i>
    <i>
      <x v="3"/>
    </i>
    <i r="1">
      <x v="22"/>
    </i>
    <i r="1">
      <x v="46"/>
    </i>
    <i r="1">
      <x v="56"/>
    </i>
    <i r="1">
      <x v="58"/>
    </i>
    <i>
      <x v="4"/>
    </i>
    <i r="1">
      <x v="37"/>
    </i>
    <i r="1">
      <x v="52"/>
    </i>
    <i>
      <x v="5"/>
    </i>
    <i r="1">
      <x v="31"/>
    </i>
    <i r="1">
      <x v="37"/>
    </i>
    <i>
      <x v="6"/>
    </i>
    <i r="1">
      <x v="5"/>
    </i>
    <i r="1">
      <x v="38"/>
    </i>
    <i>
      <x v="7"/>
    </i>
    <i r="1">
      <x v="13"/>
    </i>
    <i r="1">
      <x v="28"/>
    </i>
    <i>
      <x v="8"/>
    </i>
    <i r="1">
      <x v="20"/>
    </i>
    <i r="1">
      <x v="39"/>
    </i>
    <i>
      <x v="9"/>
    </i>
    <i r="1">
      <x v="10"/>
    </i>
    <i r="1">
      <x v="38"/>
    </i>
    <i>
      <x v="10"/>
    </i>
    <i r="1">
      <x v="22"/>
    </i>
    <i r="1">
      <x v="43"/>
    </i>
    <i r="1">
      <x v="51"/>
    </i>
    <i>
      <x v="11"/>
    </i>
    <i r="1">
      <x v="5"/>
    </i>
    <i r="1">
      <x v="26"/>
    </i>
    <i r="1">
      <x v="39"/>
    </i>
    <i r="1">
      <x v="58"/>
    </i>
    <i>
      <x v="12"/>
    </i>
    <i r="1">
      <x v="7"/>
    </i>
    <i r="1">
      <x v="48"/>
    </i>
    <i r="1">
      <x v="49"/>
    </i>
    <i r="1">
      <x v="61"/>
    </i>
    <i>
      <x v="13"/>
    </i>
    <i r="1">
      <x v="1"/>
    </i>
    <i r="1">
      <x v="11"/>
    </i>
    <i r="1">
      <x v="21"/>
    </i>
    <i r="1">
      <x v="45"/>
    </i>
    <i>
      <x v="14"/>
    </i>
    <i r="1">
      <x v="30"/>
    </i>
    <i r="1">
      <x v="34"/>
    </i>
    <i>
      <x v="15"/>
    </i>
    <i r="1">
      <x v="6"/>
    </i>
    <i r="1">
      <x v="8"/>
    </i>
    <i r="1">
      <x v="32"/>
    </i>
    <i r="1">
      <x v="44"/>
    </i>
    <i r="1">
      <x v="57"/>
    </i>
    <i r="1">
      <x v="60"/>
    </i>
    <i r="1">
      <x v="63"/>
    </i>
    <i>
      <x v="16"/>
    </i>
    <i r="1">
      <x v="1"/>
    </i>
    <i r="1">
      <x v="21"/>
    </i>
    <i>
      <x v="17"/>
    </i>
    <i r="1">
      <x v="19"/>
    </i>
    <i r="1">
      <x v="52"/>
    </i>
    <i>
      <x v="18"/>
    </i>
    <i r="1">
      <x v="24"/>
    </i>
    <i r="1">
      <x v="31"/>
    </i>
    <i>
      <x v="19"/>
    </i>
    <i r="1">
      <x v="9"/>
    </i>
    <i r="1">
      <x v="11"/>
    </i>
    <i r="1">
      <x v="43"/>
    </i>
    <i r="1">
      <x v="45"/>
    </i>
    <i r="1">
      <x v="63"/>
    </i>
    <i>
      <x v="20"/>
    </i>
    <i r="1">
      <x v="17"/>
    </i>
    <i r="1">
      <x v="60"/>
    </i>
    <i>
      <x v="21"/>
    </i>
    <i r="1">
      <x v="3"/>
    </i>
    <i r="1">
      <x v="25"/>
    </i>
    <i>
      <x v="22"/>
    </i>
    <i r="1">
      <x v="21"/>
    </i>
    <i r="1">
      <x v="32"/>
    </i>
    <i r="1">
      <x v="48"/>
    </i>
    <i r="1">
      <x v="63"/>
    </i>
    <i>
      <x v="23"/>
    </i>
    <i r="1">
      <x v="19"/>
    </i>
    <i r="1">
      <x v="52"/>
    </i>
    <i>
      <x v="24"/>
    </i>
    <i r="1">
      <x v="9"/>
    </i>
    <i r="1">
      <x v="19"/>
    </i>
    <i r="1">
      <x v="30"/>
    </i>
    <i r="1">
      <x v="31"/>
    </i>
    <i r="1">
      <x v="37"/>
    </i>
    <i r="1">
      <x v="47"/>
    </i>
    <i r="1">
      <x v="57"/>
    </i>
    <i r="1">
      <x v="63"/>
    </i>
    <i>
      <x v="25"/>
    </i>
    <i r="1">
      <x v="18"/>
    </i>
    <i r="1">
      <x v="66"/>
    </i>
    <i>
      <x v="26"/>
    </i>
    <i r="1">
      <x/>
    </i>
    <i r="1">
      <x v="23"/>
    </i>
    <i r="1">
      <x v="36"/>
    </i>
    <i r="1">
      <x v="44"/>
    </i>
    <i r="1">
      <x v="52"/>
    </i>
    <i>
      <x v="27"/>
    </i>
    <i r="1">
      <x v="4"/>
    </i>
    <i r="1">
      <x v="35"/>
    </i>
    <i>
      <x v="28"/>
    </i>
    <i r="1">
      <x v="16"/>
    </i>
    <i r="1">
      <x v="53"/>
    </i>
    <i>
      <x v="29"/>
    </i>
    <i r="1">
      <x v="27"/>
    </i>
    <i r="1">
      <x v="40"/>
    </i>
    <i r="1">
      <x v="54"/>
    </i>
    <i>
      <x v="30"/>
    </i>
    <i r="1">
      <x v="5"/>
    </i>
    <i r="1">
      <x v="10"/>
    </i>
    <i r="1">
      <x v="58"/>
    </i>
    <i r="1">
      <x v="62"/>
    </i>
    <i>
      <x v="31"/>
    </i>
    <i r="1">
      <x v="7"/>
    </i>
    <i r="1">
      <x v="20"/>
    </i>
    <i>
      <x v="32"/>
    </i>
    <i r="1">
      <x v="26"/>
    </i>
    <i r="1">
      <x v="27"/>
    </i>
    <i r="1">
      <x v="33"/>
    </i>
    <i r="1">
      <x v="41"/>
    </i>
    <i r="1">
      <x v="47"/>
    </i>
    <i r="1">
      <x v="64"/>
    </i>
    <i>
      <x v="33"/>
    </i>
    <i r="1">
      <x v="36"/>
    </i>
    <i r="1">
      <x v="52"/>
    </i>
    <i>
      <x v="34"/>
    </i>
    <i r="1">
      <x v="49"/>
    </i>
    <i r="1">
      <x v="56"/>
    </i>
    <i>
      <x v="35"/>
    </i>
    <i r="1">
      <x v="29"/>
    </i>
    <i r="1">
      <x v="35"/>
    </i>
    <i>
      <x v="36"/>
    </i>
    <i r="1">
      <x v="6"/>
    </i>
    <i r="1">
      <x v="32"/>
    </i>
    <i>
      <x v="37"/>
    </i>
    <i r="1">
      <x v="8"/>
    </i>
    <i r="1">
      <x v="44"/>
    </i>
    <i>
      <x v="38"/>
    </i>
    <i r="1">
      <x v="12"/>
    </i>
    <i r="1">
      <x v="29"/>
    </i>
    <i>
      <x v="39"/>
    </i>
    <i r="1">
      <x v="10"/>
    </i>
    <i r="1">
      <x v="62"/>
    </i>
    <i>
      <x v="40"/>
    </i>
    <i r="1">
      <x v="1"/>
    </i>
    <i r="1">
      <x v="14"/>
    </i>
    <i>
      <x v="41"/>
    </i>
    <i r="1">
      <x v="7"/>
    </i>
    <i r="1">
      <x v="49"/>
    </i>
    <i>
      <x v="42"/>
    </i>
    <i r="1">
      <x v="6"/>
    </i>
    <i r="1">
      <x v="12"/>
    </i>
    <i r="1">
      <x v="25"/>
    </i>
    <i r="1">
      <x v="28"/>
    </i>
    <i r="1">
      <x v="40"/>
    </i>
    <i r="1">
      <x v="54"/>
    </i>
    <i>
      <x v="43"/>
    </i>
    <i r="1">
      <x v="15"/>
    </i>
    <i r="1">
      <x v="66"/>
    </i>
    <i>
      <x v="44"/>
    </i>
    <i r="1">
      <x v="16"/>
    </i>
    <i r="1">
      <x v="30"/>
    </i>
    <i r="1">
      <x v="41"/>
    </i>
    <i r="1">
      <x v="53"/>
    </i>
    <i>
      <x v="45"/>
    </i>
    <i r="1">
      <x v="15"/>
    </i>
    <i r="1">
      <x v="18"/>
    </i>
    <i r="1">
      <x v="42"/>
    </i>
    <i r="1">
      <x v="46"/>
    </i>
    <i>
      <x v="46"/>
    </i>
    <i r="1">
      <x v="59"/>
    </i>
    <i r="1">
      <x v="63"/>
    </i>
    <i>
      <x v="47"/>
    </i>
    <i r="1">
      <x v="54"/>
    </i>
    <i r="1">
      <x v="55"/>
    </i>
    <i>
      <x v="48"/>
    </i>
    <i r="1">
      <x v="13"/>
    </i>
    <i r="1">
      <x v="61"/>
    </i>
    <i>
      <x v="49"/>
    </i>
    <i r="1">
      <x v="14"/>
    </i>
    <i r="1">
      <x v="65"/>
    </i>
    <i>
      <x v="50"/>
    </i>
    <i r="1">
      <x v="2"/>
    </i>
    <i r="1">
      <x v="34"/>
    </i>
    <i>
      <x v="51"/>
    </i>
    <i r="1">
      <x v="52"/>
    </i>
    <i r="1">
      <x v="65"/>
    </i>
    <i>
      <x v="52"/>
    </i>
    <i r="1">
      <x v="22"/>
    </i>
    <i r="1">
      <x v="51"/>
    </i>
    <i>
      <x v="53"/>
    </i>
    <i r="1">
      <x v="14"/>
    </i>
    <i r="1">
      <x v="65"/>
    </i>
    <i>
      <x v="54"/>
    </i>
    <i r="1">
      <x/>
    </i>
    <i r="1">
      <x v="23"/>
    </i>
    <i>
      <x v="55"/>
    </i>
    <i r="1">
      <x v="59"/>
    </i>
    <i r="1">
      <x v="63"/>
    </i>
    <i>
      <x v="56"/>
    </i>
    <i r="1">
      <x v="13"/>
    </i>
    <i r="1">
      <x v="61"/>
    </i>
    <i>
      <x v="57"/>
    </i>
    <i r="1">
      <x v="4"/>
    </i>
    <i r="1">
      <x v="50"/>
    </i>
    <i r="1">
      <x v="59"/>
    </i>
    <i r="1">
      <x v="62"/>
    </i>
    <i>
      <x v="58"/>
    </i>
    <i r="1">
      <x v="17"/>
    </i>
    <i r="1">
      <x v="60"/>
    </i>
    <i>
      <x v="59"/>
    </i>
    <i r="1">
      <x/>
    </i>
    <i r="1">
      <x v="9"/>
    </i>
    <i r="1">
      <x v="11"/>
    </i>
    <i r="1">
      <x v="25"/>
    </i>
    <i r="1">
      <x v="28"/>
    </i>
    <i r="1">
      <x v="55"/>
    </i>
    <i>
      <x v="60"/>
    </i>
    <i r="1">
      <x v="27"/>
    </i>
    <i r="1">
      <x v="33"/>
    </i>
    <i r="1">
      <x v="41"/>
    </i>
    <i r="1">
      <x v="53"/>
    </i>
    <i>
      <x v="61"/>
    </i>
    <i r="1">
      <x v="3"/>
    </i>
    <i r="1">
      <x v="8"/>
    </i>
    <i>
      <x v="62"/>
    </i>
    <i r="1">
      <x v="16"/>
    </i>
    <i r="1">
      <x v="24"/>
    </i>
    <i r="1">
      <x v="30"/>
    </i>
    <i r="1">
      <x v="33"/>
    </i>
    <i>
      <x v="63"/>
    </i>
    <i r="1">
      <x v="4"/>
    </i>
    <i r="1">
      <x v="18"/>
    </i>
    <i r="1">
      <x v="42"/>
    </i>
    <i r="1">
      <x v="50"/>
    </i>
    <i>
      <x v="64"/>
    </i>
    <i r="1">
      <x v="2"/>
    </i>
    <i r="1">
      <x v="50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8F9B65-A36C-4277-B318-5601891D7C54}" name="Tabela dinâmica15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76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4"/>
    <field x="3"/>
  </rowFields>
  <rowItems count="73">
    <i>
      <x/>
    </i>
    <i r="1">
      <x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5"/>
    </i>
    <i r="1">
      <x v="16"/>
    </i>
    <i r="1">
      <x v="20"/>
    </i>
    <i r="1">
      <x v="22"/>
    </i>
    <i r="1">
      <x v="24"/>
    </i>
    <i r="1">
      <x v="26"/>
    </i>
    <i r="1">
      <x v="27"/>
    </i>
    <i r="1">
      <x v="28"/>
    </i>
    <i r="1">
      <x v="29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4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7"/>
    </i>
    <i r="1">
      <x v="58"/>
    </i>
    <i r="1">
      <x v="59"/>
    </i>
    <i r="1">
      <x v="60"/>
    </i>
    <i r="1">
      <x v="62"/>
    </i>
    <i r="1">
      <x v="63"/>
    </i>
    <i>
      <x v="1"/>
    </i>
    <i r="1">
      <x v="10"/>
    </i>
    <i r="1">
      <x v="13"/>
    </i>
    <i r="1">
      <x v="30"/>
    </i>
    <i r="1">
      <x v="32"/>
    </i>
    <i r="1">
      <x v="46"/>
    </i>
    <i r="1">
      <x v="53"/>
    </i>
    <i r="1">
      <x v="57"/>
    </i>
    <i r="1">
      <x v="61"/>
    </i>
    <i r="1">
      <x v="64"/>
    </i>
    <i>
      <x v="2"/>
    </i>
    <i r="1">
      <x v="23"/>
    </i>
    <i>
      <x v="3"/>
    </i>
    <i r="1">
      <x v="1"/>
    </i>
    <i r="1">
      <x v="3"/>
    </i>
    <i r="1">
      <x v="14"/>
    </i>
    <i r="1">
      <x v="17"/>
    </i>
    <i r="1">
      <x v="18"/>
    </i>
    <i r="1">
      <x v="19"/>
    </i>
    <i r="1">
      <x v="21"/>
    </i>
    <i r="1">
      <x v="23"/>
    </i>
    <i r="1">
      <x v="25"/>
    </i>
    <i r="1">
      <x v="43"/>
    </i>
    <i r="1">
      <x v="45"/>
    </i>
    <i r="1">
      <x v="55"/>
    </i>
    <i r="1">
      <x v="56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6A822-7A48-4C90-A915-D1E9CD415AE1}" name="Tabela dinâmica16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137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3"/>
    <field x="4"/>
  </rowFields>
  <rowItems count="134">
    <i>
      <x/>
    </i>
    <i r="1">
      <x/>
    </i>
    <i>
      <x v="1"/>
    </i>
    <i r="1">
      <x v="3"/>
    </i>
    <i>
      <x v="2"/>
    </i>
    <i r="1">
      <x/>
    </i>
    <i>
      <x v="3"/>
    </i>
    <i r="1">
      <x v="3"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 v="1"/>
    </i>
    <i>
      <x v="11"/>
    </i>
    <i r="1">
      <x/>
    </i>
    <i>
      <x v="12"/>
    </i>
    <i r="1">
      <x/>
    </i>
    <i>
      <x v="13"/>
    </i>
    <i r="1">
      <x v="1"/>
    </i>
    <i>
      <x v="14"/>
    </i>
    <i r="1">
      <x v="3"/>
    </i>
    <i>
      <x v="15"/>
    </i>
    <i r="1">
      <x/>
    </i>
    <i>
      <x v="16"/>
    </i>
    <i r="1">
      <x/>
    </i>
    <i>
      <x v="17"/>
    </i>
    <i r="1">
      <x v="3"/>
    </i>
    <i>
      <x v="18"/>
    </i>
    <i r="1">
      <x v="3"/>
    </i>
    <i>
      <x v="19"/>
    </i>
    <i r="1">
      <x v="3"/>
    </i>
    <i>
      <x v="20"/>
    </i>
    <i r="1">
      <x/>
    </i>
    <i>
      <x v="21"/>
    </i>
    <i r="1">
      <x v="3"/>
    </i>
    <i>
      <x v="22"/>
    </i>
    <i r="1">
      <x/>
    </i>
    <i>
      <x v="23"/>
    </i>
    <i r="1">
      <x v="2"/>
    </i>
    <i r="1">
      <x v="3"/>
    </i>
    <i>
      <x v="24"/>
    </i>
    <i r="1">
      <x/>
    </i>
    <i>
      <x v="25"/>
    </i>
    <i r="1">
      <x v="3"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 v="1"/>
    </i>
    <i>
      <x v="31"/>
    </i>
    <i r="1">
      <x/>
    </i>
    <i>
      <x v="32"/>
    </i>
    <i r="1">
      <x v="1"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 v="3"/>
    </i>
    <i>
      <x v="44"/>
    </i>
    <i r="1">
      <x/>
    </i>
    <i>
      <x v="45"/>
    </i>
    <i r="1">
      <x v="3"/>
    </i>
    <i>
      <x v="46"/>
    </i>
    <i r="1">
      <x/>
    </i>
    <i r="1">
      <x v="1"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 v="1"/>
    </i>
    <i>
      <x v="54"/>
    </i>
    <i r="1">
      <x/>
    </i>
    <i>
      <x v="55"/>
    </i>
    <i r="1">
      <x v="3"/>
    </i>
    <i>
      <x v="56"/>
    </i>
    <i r="1">
      <x v="3"/>
    </i>
    <i>
      <x v="57"/>
    </i>
    <i r="1">
      <x/>
    </i>
    <i r="1">
      <x v="1"/>
    </i>
    <i>
      <x v="58"/>
    </i>
    <i r="1">
      <x/>
    </i>
    <i>
      <x v="59"/>
    </i>
    <i r="1">
      <x/>
    </i>
    <i>
      <x v="60"/>
    </i>
    <i r="1">
      <x/>
    </i>
    <i>
      <x v="61"/>
    </i>
    <i r="1">
      <x v="1"/>
    </i>
    <i>
      <x v="62"/>
    </i>
    <i r="1">
      <x/>
    </i>
    <i>
      <x v="63"/>
    </i>
    <i r="1">
      <x/>
    </i>
    <i>
      <x v="64"/>
    </i>
    <i r="1">
      <x v="1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B73EE-FE6E-4550-9E80-7DB2A7E22A86}" name="Tabela dinâmica17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205" firstHeaderRow="1" firstDataRow="1" firstDataCol="1"/>
  <pivotFields count="11">
    <pivotField showAll="0"/>
    <pivotField axis="axisRow"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showAll="0"/>
    <pivotField dataField="1" showAll="0"/>
    <pivotField showAll="0"/>
    <pivotField axis="axisRow" showAll="0">
      <items count="68">
        <item x="63"/>
        <item x="36"/>
        <item x="26"/>
        <item x="10"/>
        <item x="52"/>
        <item x="34"/>
        <item x="65"/>
        <item x="11"/>
        <item x="62"/>
        <item x="37"/>
        <item x="40"/>
        <item x="12"/>
        <item x="21"/>
        <item x="27"/>
        <item x="15"/>
        <item x="43"/>
        <item x="30"/>
        <item x="14"/>
        <item x="58"/>
        <item x="64"/>
        <item x="38"/>
        <item x="25"/>
        <item x="61"/>
        <item x="1"/>
        <item x="33"/>
        <item x="49"/>
        <item x="46"/>
        <item x="23"/>
        <item x="3"/>
        <item x="28"/>
        <item x="18"/>
        <item x="54"/>
        <item x="51"/>
        <item x="44"/>
        <item x="41"/>
        <item x="19"/>
        <item x="66"/>
        <item x="45"/>
        <item x="39"/>
        <item x="24"/>
        <item x="8"/>
        <item x="31"/>
        <item x="4"/>
        <item x="56"/>
        <item x="32"/>
        <item x="53"/>
        <item x="0"/>
        <item x="29"/>
        <item x="47"/>
        <item x="7"/>
        <item x="35"/>
        <item x="59"/>
        <item x="9"/>
        <item x="17"/>
        <item x="50"/>
        <item x="60"/>
        <item x="22"/>
        <item x="55"/>
        <item x="5"/>
        <item x="16"/>
        <item x="6"/>
        <item x="42"/>
        <item x="48"/>
        <item x="2"/>
        <item x="57"/>
        <item x="13"/>
        <item x="2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6">
    <field x="7"/>
    <field x="10"/>
    <field x="9"/>
    <field x="8"/>
    <field x="1"/>
    <field x="3"/>
  </rowFields>
  <rowItems count="202">
    <i>
      <x/>
    </i>
    <i r="1">
      <x v="1"/>
    </i>
    <i r="1">
      <x v="2"/>
    </i>
    <i>
      <x v="1"/>
    </i>
    <i r="1">
      <x v="1"/>
    </i>
    <i r="1">
      <x v="2"/>
    </i>
    <i>
      <x v="2"/>
    </i>
    <i r="1">
      <x v="1"/>
    </i>
    <i r="1">
      <x v="2"/>
    </i>
    <i>
      <x v="3"/>
    </i>
    <i r="1">
      <x v="1"/>
    </i>
    <i r="1">
      <x v="2"/>
    </i>
    <i>
      <x v="4"/>
    </i>
    <i r="1">
      <x v="1"/>
    </i>
    <i r="1">
      <x v="2"/>
    </i>
    <i>
      <x v="5"/>
    </i>
    <i r="1">
      <x v="1"/>
    </i>
    <i r="1">
      <x v="2"/>
    </i>
    <i>
      <x v="6"/>
    </i>
    <i r="1">
      <x v="1"/>
    </i>
    <i r="1">
      <x v="2"/>
    </i>
    <i>
      <x v="7"/>
    </i>
    <i r="1">
      <x v="1"/>
    </i>
    <i r="1">
      <x v="2"/>
    </i>
    <i>
      <x v="8"/>
    </i>
    <i r="1">
      <x v="1"/>
    </i>
    <i r="1">
      <x v="2"/>
    </i>
    <i>
      <x v="9"/>
    </i>
    <i r="1">
      <x v="1"/>
    </i>
    <i r="1">
      <x v="2"/>
    </i>
    <i>
      <x v="10"/>
    </i>
    <i r="1">
      <x v="1"/>
    </i>
    <i r="1">
      <x v="2"/>
    </i>
    <i>
      <x v="11"/>
    </i>
    <i r="1">
      <x v="1"/>
    </i>
    <i r="1">
      <x v="2"/>
    </i>
    <i>
      <x v="12"/>
    </i>
    <i r="1">
      <x v="1"/>
    </i>
    <i r="1">
      <x v="2"/>
    </i>
    <i>
      <x v="13"/>
    </i>
    <i r="1">
      <x v="1"/>
    </i>
    <i r="1">
      <x v="2"/>
    </i>
    <i>
      <x v="14"/>
    </i>
    <i r="1">
      <x v="1"/>
    </i>
    <i r="1">
      <x v="2"/>
    </i>
    <i>
      <x v="15"/>
    </i>
    <i r="1">
      <x v="1"/>
    </i>
    <i r="1">
      <x v="2"/>
    </i>
    <i>
      <x v="16"/>
    </i>
    <i r="1">
      <x v="1"/>
    </i>
    <i r="1">
      <x v="2"/>
    </i>
    <i>
      <x v="17"/>
    </i>
    <i r="1">
      <x v="1"/>
    </i>
    <i r="1">
      <x v="2"/>
    </i>
    <i>
      <x v="18"/>
    </i>
    <i r="1">
      <x v="1"/>
    </i>
    <i r="1">
      <x v="2"/>
    </i>
    <i>
      <x v="19"/>
    </i>
    <i r="1">
      <x v="1"/>
    </i>
    <i r="1">
      <x v="2"/>
    </i>
    <i>
      <x v="20"/>
    </i>
    <i r="1">
      <x v="1"/>
    </i>
    <i r="1">
      <x v="2"/>
    </i>
    <i>
      <x v="21"/>
    </i>
    <i r="1">
      <x v="1"/>
    </i>
    <i r="1">
      <x v="2"/>
    </i>
    <i>
      <x v="22"/>
    </i>
    <i r="1">
      <x v="1"/>
    </i>
    <i r="1">
      <x v="2"/>
    </i>
    <i>
      <x v="23"/>
    </i>
    <i r="1">
      <x v="1"/>
    </i>
    <i r="1">
      <x v="2"/>
    </i>
    <i>
      <x v="24"/>
    </i>
    <i r="1">
      <x v="1"/>
    </i>
    <i r="1">
      <x v="2"/>
    </i>
    <i>
      <x v="25"/>
    </i>
    <i r="1">
      <x v="1"/>
    </i>
    <i r="1">
      <x v="2"/>
    </i>
    <i>
      <x v="26"/>
    </i>
    <i r="1">
      <x v="1"/>
    </i>
    <i r="1">
      <x v="2"/>
    </i>
    <i>
      <x v="27"/>
    </i>
    <i r="1">
      <x v="1"/>
    </i>
    <i r="1">
      <x v="2"/>
    </i>
    <i>
      <x v="28"/>
    </i>
    <i r="1">
      <x v="1"/>
    </i>
    <i r="1">
      <x v="2"/>
    </i>
    <i>
      <x v="29"/>
    </i>
    <i r="1">
      <x v="1"/>
    </i>
    <i r="1">
      <x v="2"/>
    </i>
    <i>
      <x v="30"/>
    </i>
    <i r="1">
      <x v="1"/>
    </i>
    <i r="1">
      <x v="2"/>
    </i>
    <i>
      <x v="31"/>
    </i>
    <i r="1">
      <x v="1"/>
    </i>
    <i r="1">
      <x v="2"/>
    </i>
    <i>
      <x v="32"/>
    </i>
    <i r="1">
      <x v="1"/>
    </i>
    <i r="1">
      <x v="2"/>
    </i>
    <i>
      <x v="33"/>
    </i>
    <i r="1">
      <x v="1"/>
    </i>
    <i r="1">
      <x v="2"/>
    </i>
    <i>
      <x v="34"/>
    </i>
    <i r="1">
      <x v="1"/>
    </i>
    <i r="1">
      <x v="2"/>
    </i>
    <i>
      <x v="35"/>
    </i>
    <i r="1">
      <x v="1"/>
    </i>
    <i r="1">
      <x v="2"/>
    </i>
    <i>
      <x v="36"/>
    </i>
    <i r="1">
      <x v="1"/>
    </i>
    <i r="1">
      <x v="2"/>
    </i>
    <i>
      <x v="37"/>
    </i>
    <i r="1">
      <x v="1"/>
    </i>
    <i r="1">
      <x v="2"/>
    </i>
    <i>
      <x v="38"/>
    </i>
    <i r="1">
      <x v="1"/>
    </i>
    <i r="1">
      <x v="2"/>
    </i>
    <i>
      <x v="39"/>
    </i>
    <i r="1">
      <x v="1"/>
    </i>
    <i r="1">
      <x v="2"/>
    </i>
    <i>
      <x v="40"/>
    </i>
    <i r="1">
      <x v="1"/>
    </i>
    <i r="1">
      <x v="2"/>
    </i>
    <i>
      <x v="41"/>
    </i>
    <i r="1">
      <x v="1"/>
    </i>
    <i r="1">
      <x v="2"/>
    </i>
    <i>
      <x v="42"/>
    </i>
    <i r="1">
      <x v="1"/>
    </i>
    <i r="1">
      <x v="2"/>
    </i>
    <i>
      <x v="43"/>
    </i>
    <i r="1">
      <x v="1"/>
    </i>
    <i r="1">
      <x v="2"/>
    </i>
    <i>
      <x v="44"/>
    </i>
    <i r="1">
      <x v="1"/>
    </i>
    <i r="1">
      <x v="2"/>
    </i>
    <i>
      <x v="45"/>
    </i>
    <i r="1">
      <x v="1"/>
    </i>
    <i r="1">
      <x v="2"/>
    </i>
    <i>
      <x v="46"/>
    </i>
    <i r="1">
      <x v="1"/>
    </i>
    <i r="1">
      <x v="2"/>
    </i>
    <i>
      <x v="47"/>
    </i>
    <i r="1">
      <x v="1"/>
    </i>
    <i r="1">
      <x v="2"/>
    </i>
    <i>
      <x v="48"/>
    </i>
    <i r="1">
      <x v="1"/>
    </i>
    <i r="1">
      <x v="2"/>
    </i>
    <i>
      <x v="49"/>
    </i>
    <i r="1">
      <x v="1"/>
    </i>
    <i r="1">
      <x v="2"/>
    </i>
    <i>
      <x v="50"/>
    </i>
    <i r="1">
      <x v="1"/>
    </i>
    <i r="1">
      <x v="2"/>
    </i>
    <i>
      <x v="51"/>
    </i>
    <i r="1">
      <x v="1"/>
    </i>
    <i r="1">
      <x v="2"/>
    </i>
    <i>
      <x v="52"/>
    </i>
    <i r="1">
      <x v="1"/>
    </i>
    <i r="1">
      <x v="2"/>
    </i>
    <i>
      <x v="53"/>
    </i>
    <i r="1">
      <x v="1"/>
    </i>
    <i r="1">
      <x v="2"/>
    </i>
    <i>
      <x v="54"/>
    </i>
    <i r="1">
      <x v="1"/>
    </i>
    <i r="1">
      <x v="2"/>
    </i>
    <i>
      <x v="55"/>
    </i>
    <i r="1">
      <x v="1"/>
    </i>
    <i r="1">
      <x v="2"/>
    </i>
    <i>
      <x v="56"/>
    </i>
    <i r="1">
      <x v="1"/>
    </i>
    <i r="1">
      <x v="2"/>
    </i>
    <i>
      <x v="57"/>
    </i>
    <i r="1">
      <x v="1"/>
    </i>
    <i r="1">
      <x v="2"/>
    </i>
    <i>
      <x v="58"/>
    </i>
    <i r="1">
      <x v="1"/>
    </i>
    <i r="1">
      <x v="2"/>
    </i>
    <i>
      <x v="59"/>
    </i>
    <i r="1">
      <x v="1"/>
    </i>
    <i r="1">
      <x v="2"/>
    </i>
    <i>
      <x v="60"/>
    </i>
    <i r="1">
      <x v="1"/>
    </i>
    <i r="1">
      <x v="2"/>
    </i>
    <i>
      <x v="61"/>
    </i>
    <i r="1">
      <x v="1"/>
    </i>
    <i r="1">
      <x v="2"/>
    </i>
    <i>
      <x v="62"/>
    </i>
    <i r="1">
      <x v="1"/>
    </i>
    <i r="1">
      <x v="2"/>
    </i>
    <i>
      <x v="63"/>
    </i>
    <i r="1">
      <x v="1"/>
    </i>
    <i r="1">
      <x v="2"/>
    </i>
    <i>
      <x v="64"/>
    </i>
    <i r="1">
      <x v="1"/>
    </i>
    <i r="1">
      <x v="2"/>
    </i>
    <i>
      <x v="65"/>
    </i>
    <i r="1">
      <x v="1"/>
    </i>
    <i r="1">
      <x v="2"/>
    </i>
    <i>
      <x v="66"/>
    </i>
    <i r="1">
      <x v="1"/>
    </i>
    <i r="1">
      <x v="2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D9D4B-8896-4AE3-AB3D-81326586F53C}" name="Tabela dinâmica8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1:B98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showAll="0"/>
    <pivotField dataField="1"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</pivotFields>
  <rowFields count="2">
    <field x="6"/>
    <field x="2"/>
  </rowFields>
  <rowItems count="97">
    <i>
      <x/>
    </i>
    <i r="1">
      <x v="8"/>
    </i>
    <i r="1">
      <x v="18"/>
    </i>
    <i r="1">
      <x v="24"/>
    </i>
    <i r="1">
      <x v="28"/>
    </i>
    <i r="1">
      <x v="31"/>
    </i>
    <i r="1">
      <x v="32"/>
    </i>
    <i r="1">
      <x v="33"/>
    </i>
    <i r="1">
      <x v="45"/>
    </i>
    <i r="1">
      <x v="52"/>
    </i>
    <i r="1">
      <x v="60"/>
    </i>
    <i r="1">
      <x v="61"/>
    </i>
    <i>
      <x v="1"/>
    </i>
    <i r="1">
      <x v="1"/>
    </i>
    <i r="1">
      <x v="3"/>
    </i>
    <i r="1">
      <x v="5"/>
    </i>
    <i r="1">
      <x v="10"/>
    </i>
    <i r="1">
      <x v="12"/>
    </i>
    <i r="1">
      <x v="14"/>
    </i>
    <i r="1">
      <x v="21"/>
    </i>
    <i r="1">
      <x v="23"/>
    </i>
    <i r="1">
      <x v="29"/>
    </i>
    <i r="1">
      <x v="33"/>
    </i>
    <i r="1">
      <x v="36"/>
    </i>
    <i r="1">
      <x v="39"/>
    </i>
    <i r="1">
      <x v="50"/>
    </i>
    <i r="1">
      <x v="53"/>
    </i>
    <i r="1">
      <x v="58"/>
    </i>
    <i r="1">
      <x v="59"/>
    </i>
    <i r="1">
      <x v="63"/>
    </i>
    <i r="1">
      <x v="64"/>
    </i>
    <i>
      <x v="2"/>
    </i>
    <i r="1">
      <x v="1"/>
    </i>
    <i r="1">
      <x v="4"/>
    </i>
    <i r="1">
      <x v="6"/>
    </i>
    <i r="1">
      <x v="7"/>
    </i>
    <i r="1">
      <x v="9"/>
    </i>
    <i r="1">
      <x v="12"/>
    </i>
    <i r="1">
      <x v="16"/>
    </i>
    <i r="1">
      <x v="19"/>
    </i>
    <i r="1">
      <x v="20"/>
    </i>
    <i r="1">
      <x v="22"/>
    </i>
    <i r="1">
      <x v="25"/>
    </i>
    <i r="1">
      <x v="27"/>
    </i>
    <i r="1">
      <x v="30"/>
    </i>
    <i r="1">
      <x v="31"/>
    </i>
    <i r="1">
      <x v="33"/>
    </i>
    <i r="1">
      <x v="37"/>
    </i>
    <i r="1">
      <x v="43"/>
    </i>
    <i r="1">
      <x v="46"/>
    </i>
    <i r="1">
      <x v="57"/>
    </i>
    <i r="1">
      <x v="60"/>
    </i>
    <i r="1">
      <x v="62"/>
    </i>
    <i r="1">
      <x v="63"/>
    </i>
    <i r="1">
      <x v="65"/>
    </i>
    <i>
      <x v="3"/>
    </i>
    <i r="1">
      <x/>
    </i>
    <i r="1">
      <x v="1"/>
    </i>
    <i r="1">
      <x v="4"/>
    </i>
    <i r="1">
      <x v="10"/>
    </i>
    <i r="1">
      <x v="13"/>
    </i>
    <i r="1">
      <x v="20"/>
    </i>
    <i r="1">
      <x v="23"/>
    </i>
    <i r="1">
      <x v="27"/>
    </i>
    <i r="1">
      <x v="30"/>
    </i>
    <i r="1">
      <x v="35"/>
    </i>
    <i r="1">
      <x v="38"/>
    </i>
    <i r="1">
      <x v="40"/>
    </i>
    <i r="1">
      <x v="41"/>
    </i>
    <i r="1">
      <x v="43"/>
    </i>
    <i r="1">
      <x v="46"/>
    </i>
    <i r="1">
      <x v="47"/>
    </i>
    <i r="1">
      <x v="48"/>
    </i>
    <i r="1">
      <x v="54"/>
    </i>
    <i r="1">
      <x v="56"/>
    </i>
    <i r="1">
      <x v="64"/>
    </i>
    <i>
      <x v="4"/>
    </i>
    <i r="1">
      <x v="1"/>
    </i>
    <i r="1">
      <x v="2"/>
    </i>
    <i r="1">
      <x v="3"/>
    </i>
    <i r="1">
      <x v="11"/>
    </i>
    <i r="1">
      <x v="14"/>
    </i>
    <i r="1">
      <x v="15"/>
    </i>
    <i r="1">
      <x v="16"/>
    </i>
    <i r="1">
      <x v="17"/>
    </i>
    <i r="1">
      <x v="25"/>
    </i>
    <i r="1">
      <x v="26"/>
    </i>
    <i r="1">
      <x v="34"/>
    </i>
    <i r="1">
      <x v="42"/>
    </i>
    <i r="1">
      <x v="44"/>
    </i>
    <i r="1">
      <x v="46"/>
    </i>
    <i r="1">
      <x v="49"/>
    </i>
    <i r="1">
      <x v="51"/>
    </i>
    <i r="1">
      <x v="55"/>
    </i>
    <i r="1">
      <x v="58"/>
    </i>
    <i r="1">
      <x v="61"/>
    </i>
    <i t="grand">
      <x/>
    </i>
  </rowItems>
  <colItems count="1">
    <i/>
  </colItems>
  <dataFields count="1">
    <dataField name="Soma de Qtde" fld="4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C14770-A3B0-430A-BB46-406D95995098}" name="Tabela dinâmica9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161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showAll="0"/>
    <pivotField dataField="1"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</pivotFields>
  <rowFields count="2">
    <field x="2"/>
    <field x="6"/>
  </rowFields>
  <rowItems count="158">
    <i>
      <x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 v="4"/>
    </i>
    <i>
      <x v="3"/>
    </i>
    <i r="1">
      <x v="1"/>
    </i>
    <i r="1">
      <x v="4"/>
    </i>
    <i>
      <x v="4"/>
    </i>
    <i r="1">
      <x v="2"/>
    </i>
    <i r="1">
      <x v="3"/>
    </i>
    <i>
      <x v="5"/>
    </i>
    <i r="1">
      <x v="1"/>
    </i>
    <i>
      <x v="6"/>
    </i>
    <i r="1">
      <x v="2"/>
    </i>
    <i>
      <x v="7"/>
    </i>
    <i r="1">
      <x v="2"/>
    </i>
    <i>
      <x v="8"/>
    </i>
    <i r="1">
      <x/>
    </i>
    <i>
      <x v="9"/>
    </i>
    <i r="1">
      <x v="2"/>
    </i>
    <i>
      <x v="10"/>
    </i>
    <i r="1">
      <x v="1"/>
    </i>
    <i r="1">
      <x v="3"/>
    </i>
    <i>
      <x v="11"/>
    </i>
    <i r="1">
      <x v="4"/>
    </i>
    <i>
      <x v="12"/>
    </i>
    <i r="1">
      <x v="1"/>
    </i>
    <i r="1">
      <x v="2"/>
    </i>
    <i>
      <x v="13"/>
    </i>
    <i r="1">
      <x v="3"/>
    </i>
    <i>
      <x v="14"/>
    </i>
    <i r="1">
      <x v="1"/>
    </i>
    <i r="1">
      <x v="4"/>
    </i>
    <i>
      <x v="15"/>
    </i>
    <i r="1">
      <x v="4"/>
    </i>
    <i>
      <x v="16"/>
    </i>
    <i r="1">
      <x v="2"/>
    </i>
    <i r="1">
      <x v="4"/>
    </i>
    <i>
      <x v="17"/>
    </i>
    <i r="1">
      <x v="4"/>
    </i>
    <i>
      <x v="18"/>
    </i>
    <i r="1">
      <x/>
    </i>
    <i>
      <x v="19"/>
    </i>
    <i r="1">
      <x v="2"/>
    </i>
    <i>
      <x v="20"/>
    </i>
    <i r="1">
      <x v="2"/>
    </i>
    <i r="1">
      <x v="3"/>
    </i>
    <i>
      <x v="21"/>
    </i>
    <i r="1">
      <x v="1"/>
    </i>
    <i>
      <x v="22"/>
    </i>
    <i r="1">
      <x v="2"/>
    </i>
    <i>
      <x v="23"/>
    </i>
    <i r="1">
      <x v="1"/>
    </i>
    <i r="1">
      <x v="3"/>
    </i>
    <i>
      <x v="24"/>
    </i>
    <i r="1">
      <x/>
    </i>
    <i>
      <x v="25"/>
    </i>
    <i r="1">
      <x v="2"/>
    </i>
    <i r="1">
      <x v="4"/>
    </i>
    <i>
      <x v="26"/>
    </i>
    <i r="1">
      <x v="4"/>
    </i>
    <i>
      <x v="27"/>
    </i>
    <i r="1">
      <x v="2"/>
    </i>
    <i r="1">
      <x v="3"/>
    </i>
    <i>
      <x v="28"/>
    </i>
    <i r="1">
      <x/>
    </i>
    <i>
      <x v="29"/>
    </i>
    <i r="1">
      <x v="1"/>
    </i>
    <i>
      <x v="30"/>
    </i>
    <i r="1">
      <x v="2"/>
    </i>
    <i r="1">
      <x v="3"/>
    </i>
    <i>
      <x v="31"/>
    </i>
    <i r="1">
      <x/>
    </i>
    <i r="1">
      <x v="2"/>
    </i>
    <i>
      <x v="32"/>
    </i>
    <i r="1">
      <x/>
    </i>
    <i>
      <x v="33"/>
    </i>
    <i r="1">
      <x/>
    </i>
    <i r="1">
      <x v="1"/>
    </i>
    <i r="1">
      <x v="2"/>
    </i>
    <i>
      <x v="34"/>
    </i>
    <i r="1">
      <x v="4"/>
    </i>
    <i>
      <x v="35"/>
    </i>
    <i r="1">
      <x v="3"/>
    </i>
    <i>
      <x v="36"/>
    </i>
    <i r="1">
      <x v="1"/>
    </i>
    <i>
      <x v="37"/>
    </i>
    <i r="1">
      <x v="2"/>
    </i>
    <i>
      <x v="38"/>
    </i>
    <i r="1">
      <x v="3"/>
    </i>
    <i>
      <x v="39"/>
    </i>
    <i r="1">
      <x v="1"/>
    </i>
    <i>
      <x v="40"/>
    </i>
    <i r="1">
      <x v="3"/>
    </i>
    <i>
      <x v="41"/>
    </i>
    <i r="1">
      <x v="3"/>
    </i>
    <i>
      <x v="42"/>
    </i>
    <i r="1">
      <x v="4"/>
    </i>
    <i>
      <x v="43"/>
    </i>
    <i r="1">
      <x v="2"/>
    </i>
    <i r="1">
      <x v="3"/>
    </i>
    <i>
      <x v="44"/>
    </i>
    <i r="1">
      <x v="4"/>
    </i>
    <i>
      <x v="45"/>
    </i>
    <i r="1">
      <x/>
    </i>
    <i>
      <x v="46"/>
    </i>
    <i r="1">
      <x v="2"/>
    </i>
    <i r="1">
      <x v="3"/>
    </i>
    <i r="1">
      <x v="4"/>
    </i>
    <i>
      <x v="47"/>
    </i>
    <i r="1">
      <x v="3"/>
    </i>
    <i>
      <x v="48"/>
    </i>
    <i r="1">
      <x v="3"/>
    </i>
    <i>
      <x v="49"/>
    </i>
    <i r="1">
      <x v="4"/>
    </i>
    <i>
      <x v="50"/>
    </i>
    <i r="1">
      <x v="1"/>
    </i>
    <i>
      <x v="51"/>
    </i>
    <i r="1">
      <x v="4"/>
    </i>
    <i>
      <x v="52"/>
    </i>
    <i r="1">
      <x/>
    </i>
    <i>
      <x v="53"/>
    </i>
    <i r="1">
      <x v="1"/>
    </i>
    <i>
      <x v="54"/>
    </i>
    <i r="1">
      <x v="3"/>
    </i>
    <i>
      <x v="55"/>
    </i>
    <i r="1">
      <x v="4"/>
    </i>
    <i>
      <x v="56"/>
    </i>
    <i r="1">
      <x v="3"/>
    </i>
    <i>
      <x v="57"/>
    </i>
    <i r="1">
      <x v="2"/>
    </i>
    <i>
      <x v="58"/>
    </i>
    <i r="1">
      <x v="1"/>
    </i>
    <i r="1">
      <x v="4"/>
    </i>
    <i>
      <x v="59"/>
    </i>
    <i r="1">
      <x v="1"/>
    </i>
    <i>
      <x v="60"/>
    </i>
    <i r="1">
      <x/>
    </i>
    <i r="1">
      <x v="2"/>
    </i>
    <i>
      <x v="61"/>
    </i>
    <i r="1">
      <x/>
    </i>
    <i r="1">
      <x v="4"/>
    </i>
    <i>
      <x v="62"/>
    </i>
    <i r="1">
      <x v="2"/>
    </i>
    <i>
      <x v="63"/>
    </i>
    <i r="1">
      <x v="1"/>
    </i>
    <i r="1">
      <x v="2"/>
    </i>
    <i>
      <x v="64"/>
    </i>
    <i r="1">
      <x v="1"/>
    </i>
    <i r="1">
      <x v="3"/>
    </i>
    <i>
      <x v="65"/>
    </i>
    <i r="1">
      <x v="2"/>
    </i>
    <i t="grand">
      <x/>
    </i>
  </rowItems>
  <colItems count="1">
    <i/>
  </colItems>
  <dataFields count="1">
    <dataField name="Soma de Qtde" fld="4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5DE0C-8063-4238-BEA1-4AE13EDC4BD5}" name="Tabela dinâmica10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76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</pivotFields>
  <rowFields count="2">
    <field x="3"/>
    <field x="2"/>
  </rowFields>
  <rowItems count="73">
    <i>
      <x/>
    </i>
    <i r="1">
      <x/>
    </i>
    <i r="1">
      <x v="1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6"/>
    </i>
    <i r="1">
      <x v="17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0"/>
    </i>
    <i r="1">
      <x v="32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5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5"/>
    </i>
    <i r="1">
      <x v="58"/>
    </i>
    <i r="1">
      <x v="59"/>
    </i>
    <i r="1">
      <x v="60"/>
    </i>
    <i r="1">
      <x v="63"/>
    </i>
    <i r="1">
      <x v="64"/>
    </i>
    <i>
      <x v="1"/>
    </i>
    <i r="1">
      <x v="11"/>
    </i>
    <i r="1">
      <x v="14"/>
    </i>
    <i r="1">
      <x v="31"/>
    </i>
    <i r="1">
      <x v="33"/>
    </i>
    <i r="1">
      <x v="47"/>
    </i>
    <i r="1">
      <x v="54"/>
    </i>
    <i r="1">
      <x v="58"/>
    </i>
    <i r="1">
      <x v="61"/>
    </i>
    <i r="1">
      <x v="62"/>
    </i>
    <i>
      <x v="2"/>
    </i>
    <i r="1">
      <x v="2"/>
    </i>
    <i r="1">
      <x v="4"/>
    </i>
    <i r="1">
      <x v="15"/>
    </i>
    <i r="1">
      <x v="18"/>
    </i>
    <i r="1">
      <x v="19"/>
    </i>
    <i r="1">
      <x v="20"/>
    </i>
    <i r="1">
      <x v="22"/>
    </i>
    <i r="1">
      <x v="24"/>
    </i>
    <i r="1">
      <x v="44"/>
    </i>
    <i r="1">
      <x v="46"/>
    </i>
    <i r="1">
      <x v="56"/>
    </i>
    <i r="1">
      <x v="57"/>
    </i>
    <i>
      <x v="3"/>
    </i>
    <i r="1">
      <x v="65"/>
    </i>
    <i>
      <x v="4"/>
    </i>
    <i r="1">
      <x v="26"/>
    </i>
    <i t="grand">
      <x/>
    </i>
  </rowItems>
  <colItems count="1">
    <i/>
  </colItems>
  <dataFields count="1">
    <dataField name="Soma de Qtd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E39368-89D5-4343-B71F-D447C04118CA}" name="Tabela dinâmica11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137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</pivotFields>
  <rowFields count="2">
    <field x="2"/>
    <field x="3"/>
  </rowFields>
  <rowItems count="134">
    <i>
      <x/>
    </i>
    <i r="1">
      <x/>
    </i>
    <i>
      <x v="1"/>
    </i>
    <i r="1">
      <x/>
    </i>
    <i>
      <x v="2"/>
    </i>
    <i r="1">
      <x v="2"/>
    </i>
    <i>
      <x v="3"/>
    </i>
    <i r="1">
      <x/>
    </i>
    <i>
      <x v="4"/>
    </i>
    <i r="1">
      <x v="2"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 v="1"/>
    </i>
    <i>
      <x v="12"/>
    </i>
    <i r="1">
      <x/>
    </i>
    <i>
      <x v="13"/>
    </i>
    <i r="1">
      <x/>
    </i>
    <i>
      <x v="14"/>
    </i>
    <i r="1">
      <x v="1"/>
    </i>
    <i>
      <x v="15"/>
    </i>
    <i r="1">
      <x v="2"/>
    </i>
    <i>
      <x v="16"/>
    </i>
    <i r="1">
      <x/>
    </i>
    <i>
      <x v="17"/>
    </i>
    <i r="1">
      <x/>
    </i>
    <i>
      <x v="18"/>
    </i>
    <i r="1">
      <x v="2"/>
    </i>
    <i>
      <x v="19"/>
    </i>
    <i r="1">
      <x v="2"/>
    </i>
    <i>
      <x v="20"/>
    </i>
    <i r="1">
      <x v="2"/>
    </i>
    <i>
      <x v="21"/>
    </i>
    <i r="1">
      <x/>
    </i>
    <i>
      <x v="22"/>
    </i>
    <i r="1">
      <x v="2"/>
    </i>
    <i>
      <x v="23"/>
    </i>
    <i r="1">
      <x/>
    </i>
    <i>
      <x v="24"/>
    </i>
    <i r="1">
      <x v="2"/>
    </i>
    <i>
      <x v="25"/>
    </i>
    <i r="1">
      <x/>
    </i>
    <i>
      <x v="26"/>
    </i>
    <i r="1">
      <x v="4"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 v="1"/>
    </i>
    <i>
      <x v="32"/>
    </i>
    <i r="1">
      <x/>
    </i>
    <i>
      <x v="33"/>
    </i>
    <i r="1">
      <x v="1"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 v="2"/>
    </i>
    <i>
      <x v="45"/>
    </i>
    <i r="1">
      <x/>
    </i>
    <i>
      <x v="46"/>
    </i>
    <i r="1">
      <x v="2"/>
    </i>
    <i>
      <x v="47"/>
    </i>
    <i r="1">
      <x v="1"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 v="1"/>
    </i>
    <i>
      <x v="55"/>
    </i>
    <i r="1">
      <x/>
    </i>
    <i>
      <x v="56"/>
    </i>
    <i r="1">
      <x v="2"/>
    </i>
    <i>
      <x v="57"/>
    </i>
    <i r="1">
      <x v="2"/>
    </i>
    <i>
      <x v="58"/>
    </i>
    <i r="1">
      <x/>
    </i>
    <i r="1">
      <x v="1"/>
    </i>
    <i>
      <x v="59"/>
    </i>
    <i r="1">
      <x/>
    </i>
    <i>
      <x v="60"/>
    </i>
    <i r="1">
      <x/>
    </i>
    <i>
      <x v="61"/>
    </i>
    <i r="1">
      <x v="1"/>
    </i>
    <i>
      <x v="62"/>
    </i>
    <i r="1">
      <x v="1"/>
    </i>
    <i>
      <x v="63"/>
    </i>
    <i r="1">
      <x/>
    </i>
    <i>
      <x v="64"/>
    </i>
    <i r="1">
      <x/>
    </i>
    <i>
      <x v="65"/>
    </i>
    <i r="1">
      <x v="3"/>
    </i>
    <i t="grand">
      <x/>
    </i>
  </rowItems>
  <colItems count="1">
    <i/>
  </colItems>
  <dataFields count="1">
    <dataField name="Soma de Qtd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5E41A1-FF93-4BC7-9B5C-80ED6C2718F3}" name="Tabela dinâmica12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162" firstHeaderRow="1" firstDataRow="1" firstDataCol="1"/>
  <pivotFields count="7">
    <pivotField axis="axisRow" numFmtId="14" showAll="0">
      <items count="2">
        <item x="0"/>
        <item t="default"/>
      </items>
    </pivotField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showAll="0"/>
    <pivotField dataField="1"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</pivotFields>
  <rowFields count="3">
    <field x="0"/>
    <field x="2"/>
    <field x="6"/>
  </rowFields>
  <rowItems count="159">
    <i>
      <x/>
    </i>
    <i r="1">
      <x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 v="4"/>
    </i>
    <i r="1">
      <x v="3"/>
    </i>
    <i r="2">
      <x v="1"/>
    </i>
    <i r="2">
      <x v="4"/>
    </i>
    <i r="1">
      <x v="4"/>
    </i>
    <i r="2">
      <x v="2"/>
    </i>
    <i r="2">
      <x v="3"/>
    </i>
    <i r="1">
      <x v="5"/>
    </i>
    <i r="2">
      <x v="1"/>
    </i>
    <i r="1">
      <x v="6"/>
    </i>
    <i r="2">
      <x v="2"/>
    </i>
    <i r="1">
      <x v="7"/>
    </i>
    <i r="2">
      <x v="2"/>
    </i>
    <i r="1">
      <x v="8"/>
    </i>
    <i r="2">
      <x/>
    </i>
    <i r="1">
      <x v="9"/>
    </i>
    <i r="2">
      <x v="2"/>
    </i>
    <i r="1">
      <x v="10"/>
    </i>
    <i r="2">
      <x v="1"/>
    </i>
    <i r="2">
      <x v="3"/>
    </i>
    <i r="1">
      <x v="11"/>
    </i>
    <i r="2">
      <x v="4"/>
    </i>
    <i r="1">
      <x v="12"/>
    </i>
    <i r="2">
      <x v="1"/>
    </i>
    <i r="2">
      <x v="2"/>
    </i>
    <i r="1">
      <x v="13"/>
    </i>
    <i r="2">
      <x v="3"/>
    </i>
    <i r="1">
      <x v="14"/>
    </i>
    <i r="2">
      <x v="1"/>
    </i>
    <i r="2">
      <x v="4"/>
    </i>
    <i r="1">
      <x v="15"/>
    </i>
    <i r="2">
      <x v="4"/>
    </i>
    <i r="1">
      <x v="16"/>
    </i>
    <i r="2">
      <x v="2"/>
    </i>
    <i r="2">
      <x v="4"/>
    </i>
    <i r="1">
      <x v="17"/>
    </i>
    <i r="2">
      <x v="4"/>
    </i>
    <i r="1">
      <x v="18"/>
    </i>
    <i r="2">
      <x/>
    </i>
    <i r="1">
      <x v="19"/>
    </i>
    <i r="2">
      <x v="2"/>
    </i>
    <i r="1">
      <x v="20"/>
    </i>
    <i r="2">
      <x v="2"/>
    </i>
    <i r="2">
      <x v="3"/>
    </i>
    <i r="1">
      <x v="21"/>
    </i>
    <i r="2">
      <x v="1"/>
    </i>
    <i r="1">
      <x v="22"/>
    </i>
    <i r="2">
      <x v="2"/>
    </i>
    <i r="1">
      <x v="23"/>
    </i>
    <i r="2">
      <x v="1"/>
    </i>
    <i r="2">
      <x v="3"/>
    </i>
    <i r="1">
      <x v="24"/>
    </i>
    <i r="2">
      <x/>
    </i>
    <i r="1">
      <x v="25"/>
    </i>
    <i r="2">
      <x v="2"/>
    </i>
    <i r="2">
      <x v="4"/>
    </i>
    <i r="1">
      <x v="26"/>
    </i>
    <i r="2">
      <x v="4"/>
    </i>
    <i r="1">
      <x v="27"/>
    </i>
    <i r="2">
      <x v="2"/>
    </i>
    <i r="2">
      <x v="3"/>
    </i>
    <i r="1">
      <x v="28"/>
    </i>
    <i r="2">
      <x/>
    </i>
    <i r="1">
      <x v="29"/>
    </i>
    <i r="2">
      <x v="1"/>
    </i>
    <i r="1">
      <x v="30"/>
    </i>
    <i r="2">
      <x v="2"/>
    </i>
    <i r="2">
      <x v="3"/>
    </i>
    <i r="1">
      <x v="31"/>
    </i>
    <i r="2">
      <x/>
    </i>
    <i r="2">
      <x v="2"/>
    </i>
    <i r="1">
      <x v="32"/>
    </i>
    <i r="2">
      <x/>
    </i>
    <i r="1">
      <x v="33"/>
    </i>
    <i r="2">
      <x/>
    </i>
    <i r="2">
      <x v="1"/>
    </i>
    <i r="2">
      <x v="2"/>
    </i>
    <i r="1">
      <x v="34"/>
    </i>
    <i r="2">
      <x v="4"/>
    </i>
    <i r="1">
      <x v="35"/>
    </i>
    <i r="2">
      <x v="3"/>
    </i>
    <i r="1">
      <x v="36"/>
    </i>
    <i r="2">
      <x v="1"/>
    </i>
    <i r="1">
      <x v="37"/>
    </i>
    <i r="2">
      <x v="2"/>
    </i>
    <i r="1">
      <x v="38"/>
    </i>
    <i r="2">
      <x v="3"/>
    </i>
    <i r="1">
      <x v="39"/>
    </i>
    <i r="2">
      <x v="1"/>
    </i>
    <i r="1">
      <x v="40"/>
    </i>
    <i r="2">
      <x v="3"/>
    </i>
    <i r="1">
      <x v="41"/>
    </i>
    <i r="2">
      <x v="3"/>
    </i>
    <i r="1">
      <x v="42"/>
    </i>
    <i r="2">
      <x v="4"/>
    </i>
    <i r="1">
      <x v="43"/>
    </i>
    <i r="2">
      <x v="2"/>
    </i>
    <i r="2">
      <x v="3"/>
    </i>
    <i r="1">
      <x v="44"/>
    </i>
    <i r="2">
      <x v="4"/>
    </i>
    <i r="1">
      <x v="45"/>
    </i>
    <i r="2">
      <x/>
    </i>
    <i r="1">
      <x v="46"/>
    </i>
    <i r="2">
      <x v="2"/>
    </i>
    <i r="2">
      <x v="3"/>
    </i>
    <i r="2">
      <x v="4"/>
    </i>
    <i r="1">
      <x v="47"/>
    </i>
    <i r="2">
      <x v="3"/>
    </i>
    <i r="1">
      <x v="48"/>
    </i>
    <i r="2">
      <x v="3"/>
    </i>
    <i r="1">
      <x v="49"/>
    </i>
    <i r="2">
      <x v="4"/>
    </i>
    <i r="1">
      <x v="50"/>
    </i>
    <i r="2">
      <x v="1"/>
    </i>
    <i r="1">
      <x v="51"/>
    </i>
    <i r="2">
      <x v="4"/>
    </i>
    <i r="1">
      <x v="52"/>
    </i>
    <i r="2">
      <x/>
    </i>
    <i r="1">
      <x v="53"/>
    </i>
    <i r="2">
      <x v="1"/>
    </i>
    <i r="1">
      <x v="54"/>
    </i>
    <i r="2">
      <x v="3"/>
    </i>
    <i r="1">
      <x v="55"/>
    </i>
    <i r="2">
      <x v="4"/>
    </i>
    <i r="1">
      <x v="56"/>
    </i>
    <i r="2">
      <x v="3"/>
    </i>
    <i r="1">
      <x v="57"/>
    </i>
    <i r="2">
      <x v="2"/>
    </i>
    <i r="1">
      <x v="58"/>
    </i>
    <i r="2">
      <x v="1"/>
    </i>
    <i r="2">
      <x v="4"/>
    </i>
    <i r="1">
      <x v="59"/>
    </i>
    <i r="2">
      <x v="1"/>
    </i>
    <i r="1">
      <x v="60"/>
    </i>
    <i r="2">
      <x/>
    </i>
    <i r="2">
      <x v="2"/>
    </i>
    <i r="1">
      <x v="61"/>
    </i>
    <i r="2">
      <x/>
    </i>
    <i r="2">
      <x v="4"/>
    </i>
    <i r="1">
      <x v="62"/>
    </i>
    <i r="2">
      <x v="2"/>
    </i>
    <i r="1">
      <x v="63"/>
    </i>
    <i r="2">
      <x v="1"/>
    </i>
    <i r="2">
      <x v="2"/>
    </i>
    <i r="1">
      <x v="64"/>
    </i>
    <i r="2">
      <x v="1"/>
    </i>
    <i r="2">
      <x v="3"/>
    </i>
    <i r="1">
      <x v="65"/>
    </i>
    <i r="2">
      <x v="2"/>
    </i>
    <i t="grand">
      <x/>
    </i>
  </rowItems>
  <colItems count="1">
    <i/>
  </colItems>
  <dataFields count="1">
    <dataField name="Soma de Qtde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5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3B8-F5C5-4EFC-9044-25EF086ECFEE}">
  <sheetPr codeName="Planilha1"/>
  <dimension ref="A1:F108"/>
  <sheetViews>
    <sheetView showGridLines="0" zoomScale="94" zoomScaleNormal="94" workbookViewId="0">
      <selection activeCell="D18" sqref="D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28.7109375" customWidth="1"/>
    <col min="2" max="2" width="35.140625" customWidth="1"/>
    <col min="3" max="3" width="23.7109375" customWidth="1"/>
    <col min="4" max="4" width="17" customWidth="1"/>
    <col min="5" max="5" width="32.85546875" customWidth="1"/>
    <col min="6" max="6" width="33.28515625" customWidth="1"/>
  </cols>
  <sheetData>
    <row r="1" spans="1:6" x14ac:dyDescent="0.25">
      <c r="A1" s="2" t="s">
        <v>5</v>
      </c>
      <c r="B1" s="7">
        <v>1</v>
      </c>
    </row>
    <row r="2" spans="1:6" x14ac:dyDescent="0.25">
      <c r="A2" s="3" t="s">
        <v>1</v>
      </c>
      <c r="B2" s="7">
        <v>1</v>
      </c>
      <c r="E2" t="s">
        <v>6</v>
      </c>
      <c r="F2" s="8"/>
    </row>
    <row r="3" spans="1:6" x14ac:dyDescent="0.25">
      <c r="A3" s="3" t="s">
        <v>79</v>
      </c>
      <c r="B3" s="7">
        <v>1</v>
      </c>
    </row>
    <row r="4" spans="1:6" x14ac:dyDescent="0.25">
      <c r="A4" s="3" t="s">
        <v>80</v>
      </c>
      <c r="B4" s="7">
        <v>1</v>
      </c>
      <c r="E4" t="s">
        <v>7</v>
      </c>
    </row>
    <row r="5" spans="1:6" x14ac:dyDescent="0.25">
      <c r="A5" s="3" t="s">
        <v>81</v>
      </c>
      <c r="B5" s="7">
        <v>1</v>
      </c>
    </row>
    <row r="6" spans="1:6" x14ac:dyDescent="0.25">
      <c r="B6" s="6"/>
      <c r="E6" t="s">
        <v>8</v>
      </c>
    </row>
    <row r="8" spans="1:6" ht="22.5" customHeight="1" x14ac:dyDescent="0.25">
      <c r="A8" s="2" t="s">
        <v>5</v>
      </c>
      <c r="B8" s="3" t="s">
        <v>1</v>
      </c>
      <c r="C8" s="3" t="s">
        <v>79</v>
      </c>
      <c r="D8" s="3" t="s">
        <v>80</v>
      </c>
      <c r="E8" s="3" t="s">
        <v>81</v>
      </c>
    </row>
    <row r="9" spans="1:6" ht="25.5" customHeight="1" x14ac:dyDescent="0.25">
      <c r="A9" s="1" t="s">
        <v>140</v>
      </c>
      <c r="B9" s="1" t="s">
        <v>215</v>
      </c>
      <c r="C9" s="1" t="s">
        <v>225</v>
      </c>
      <c r="D9" s="1" t="s">
        <v>141</v>
      </c>
      <c r="E9" s="1" t="s">
        <v>325</v>
      </c>
    </row>
    <row r="10" spans="1:6" ht="21.75" customHeight="1" x14ac:dyDescent="0.25">
      <c r="A10" s="1" t="s">
        <v>144</v>
      </c>
      <c r="B10" s="1" t="s">
        <v>216</v>
      </c>
      <c r="C10" s="1" t="s">
        <v>226</v>
      </c>
      <c r="D10" s="1" t="s">
        <v>145</v>
      </c>
      <c r="E10" s="1" t="s">
        <v>326</v>
      </c>
    </row>
    <row r="11" spans="1:6" ht="20.25" customHeight="1" x14ac:dyDescent="0.25">
      <c r="A11" s="1" t="s">
        <v>140</v>
      </c>
      <c r="B11" s="1" t="s">
        <v>217</v>
      </c>
      <c r="C11" s="1" t="s">
        <v>227</v>
      </c>
      <c r="D11" s="1" t="s">
        <v>147</v>
      </c>
      <c r="E11" s="1" t="s">
        <v>327</v>
      </c>
    </row>
    <row r="12" spans="1:6" ht="33" customHeight="1" x14ac:dyDescent="0.25">
      <c r="A12" s="1" t="s">
        <v>149</v>
      </c>
      <c r="B12" s="1" t="s">
        <v>218</v>
      </c>
      <c r="C12" s="1" t="s">
        <v>228</v>
      </c>
      <c r="D12" s="1" t="s">
        <v>150</v>
      </c>
      <c r="E12" s="1" t="s">
        <v>328</v>
      </c>
    </row>
    <row r="13" spans="1:6" ht="18.75" customHeight="1" x14ac:dyDescent="0.25">
      <c r="A13" s="1" t="s">
        <v>144</v>
      </c>
      <c r="B13" s="1" t="s">
        <v>218</v>
      </c>
      <c r="C13" s="1" t="s">
        <v>229</v>
      </c>
      <c r="D13" s="1" t="s">
        <v>147</v>
      </c>
      <c r="E13" s="1" t="s">
        <v>329</v>
      </c>
    </row>
    <row r="14" spans="1:6" ht="24.75" customHeight="1" x14ac:dyDescent="0.25">
      <c r="A14" s="1" t="s">
        <v>153</v>
      </c>
      <c r="B14" s="1" t="s">
        <v>217</v>
      </c>
      <c r="C14" s="1" t="s">
        <v>230</v>
      </c>
      <c r="D14" s="1" t="s">
        <v>147</v>
      </c>
      <c r="E14" s="1" t="s">
        <v>330</v>
      </c>
    </row>
    <row r="15" spans="1:6" ht="30.75" customHeight="1" x14ac:dyDescent="0.25">
      <c r="A15" s="1" t="s">
        <v>155</v>
      </c>
      <c r="B15" s="1" t="s">
        <v>219</v>
      </c>
      <c r="C15" s="1" t="s">
        <v>231</v>
      </c>
      <c r="D15" s="1" t="s">
        <v>141</v>
      </c>
      <c r="E15" s="1" t="s">
        <v>331</v>
      </c>
    </row>
    <row r="16" spans="1:6" ht="36.75" customHeight="1" x14ac:dyDescent="0.25">
      <c r="A16" s="1" t="s">
        <v>155</v>
      </c>
      <c r="B16" s="1" t="s">
        <v>216</v>
      </c>
      <c r="C16" s="1" t="s">
        <v>232</v>
      </c>
      <c r="D16" s="1" t="s">
        <v>150</v>
      </c>
      <c r="E16" s="1" t="s">
        <v>332</v>
      </c>
    </row>
    <row r="17" spans="1:5" ht="23.25" customHeight="1" x14ac:dyDescent="0.25">
      <c r="A17" s="1" t="s">
        <v>144</v>
      </c>
      <c r="B17" s="1" t="s">
        <v>218</v>
      </c>
      <c r="C17" s="1" t="s">
        <v>233</v>
      </c>
      <c r="D17" s="1" t="s">
        <v>150</v>
      </c>
      <c r="E17" s="1" t="s">
        <v>333</v>
      </c>
    </row>
    <row r="18" spans="1:5" ht="23.25" customHeight="1" x14ac:dyDescent="0.25">
      <c r="A18" s="1" t="s">
        <v>144</v>
      </c>
      <c r="B18" s="1" t="s">
        <v>215</v>
      </c>
      <c r="C18" s="1" t="s">
        <v>234</v>
      </c>
      <c r="D18" s="1" t="s">
        <v>147</v>
      </c>
      <c r="E18" s="1" t="s">
        <v>334</v>
      </c>
    </row>
    <row r="19" spans="1:5" ht="21" customHeight="1" x14ac:dyDescent="0.25">
      <c r="A19" s="1" t="s">
        <v>153</v>
      </c>
      <c r="B19" s="1" t="s">
        <v>220</v>
      </c>
      <c r="C19" s="1" t="s">
        <v>235</v>
      </c>
      <c r="D19" s="1" t="s">
        <v>145</v>
      </c>
      <c r="E19" s="1" t="s">
        <v>335</v>
      </c>
    </row>
    <row r="20" spans="1:5" ht="18.75" customHeight="1" x14ac:dyDescent="0.25">
      <c r="A20" s="1" t="s">
        <v>155</v>
      </c>
      <c r="B20" s="1" t="s">
        <v>221</v>
      </c>
      <c r="C20" s="1" t="s">
        <v>236</v>
      </c>
      <c r="D20" s="1" t="s">
        <v>141</v>
      </c>
      <c r="E20" s="1" t="s">
        <v>336</v>
      </c>
    </row>
    <row r="21" spans="1:5" ht="20.25" customHeight="1" x14ac:dyDescent="0.25">
      <c r="A21" s="1" t="s">
        <v>155</v>
      </c>
      <c r="B21" s="1" t="s">
        <v>222</v>
      </c>
      <c r="C21" s="1" t="s">
        <v>237</v>
      </c>
      <c r="D21" s="1" t="s">
        <v>150</v>
      </c>
      <c r="E21" s="1" t="s">
        <v>337</v>
      </c>
    </row>
    <row r="22" spans="1:5" ht="20.25" customHeight="1" x14ac:dyDescent="0.25">
      <c r="A22" s="1" t="s">
        <v>140</v>
      </c>
      <c r="B22" s="1" t="s">
        <v>220</v>
      </c>
      <c r="C22" s="1" t="s">
        <v>238</v>
      </c>
      <c r="D22" s="1" t="s">
        <v>141</v>
      </c>
      <c r="E22" s="1" t="s">
        <v>338</v>
      </c>
    </row>
    <row r="23" spans="1:5" ht="20.25" customHeight="1" x14ac:dyDescent="0.25">
      <c r="A23" s="1" t="s">
        <v>140</v>
      </c>
      <c r="B23" s="1" t="s">
        <v>221</v>
      </c>
      <c r="C23" s="1" t="s">
        <v>239</v>
      </c>
      <c r="D23" s="1" t="s">
        <v>163</v>
      </c>
      <c r="E23" s="1" t="s">
        <v>339</v>
      </c>
    </row>
    <row r="24" spans="1:5" ht="34.5" customHeight="1" x14ac:dyDescent="0.25">
      <c r="A24" s="1" t="s">
        <v>149</v>
      </c>
      <c r="B24" s="1" t="s">
        <v>223</v>
      </c>
      <c r="C24" s="1" t="s">
        <v>240</v>
      </c>
      <c r="D24" s="1" t="s">
        <v>147</v>
      </c>
      <c r="E24" s="1" t="s">
        <v>340</v>
      </c>
    </row>
    <row r="25" spans="1:5" ht="21" customHeight="1" x14ac:dyDescent="0.25">
      <c r="A25" s="1" t="s">
        <v>144</v>
      </c>
      <c r="B25" s="1" t="s">
        <v>222</v>
      </c>
      <c r="C25" s="1" t="s">
        <v>241</v>
      </c>
      <c r="D25" s="1" t="s">
        <v>147</v>
      </c>
      <c r="E25" s="1" t="s">
        <v>341</v>
      </c>
    </row>
    <row r="26" spans="1:5" ht="21.75" customHeight="1" x14ac:dyDescent="0.25">
      <c r="A26" s="1" t="s">
        <v>140</v>
      </c>
      <c r="B26" s="1" t="s">
        <v>222</v>
      </c>
      <c r="C26" s="1" t="s">
        <v>242</v>
      </c>
      <c r="D26" s="1" t="s">
        <v>141</v>
      </c>
      <c r="E26" s="1" t="s">
        <v>342</v>
      </c>
    </row>
    <row r="27" spans="1:5" ht="21.75" customHeight="1" x14ac:dyDescent="0.25">
      <c r="A27" s="1" t="s">
        <v>149</v>
      </c>
      <c r="B27" s="1" t="s">
        <v>221</v>
      </c>
      <c r="C27" s="1" t="s">
        <v>243</v>
      </c>
      <c r="D27" s="1" t="s">
        <v>141</v>
      </c>
      <c r="E27" s="1" t="s">
        <v>343</v>
      </c>
    </row>
    <row r="28" spans="1:5" ht="21.75" customHeight="1" x14ac:dyDescent="0.25">
      <c r="A28" s="1" t="s">
        <v>144</v>
      </c>
      <c r="B28" s="1" t="s">
        <v>224</v>
      </c>
      <c r="C28" s="1" t="s">
        <v>244</v>
      </c>
      <c r="D28" s="1" t="s">
        <v>145</v>
      </c>
      <c r="E28" s="1" t="s">
        <v>344</v>
      </c>
    </row>
    <row r="29" spans="1:5" x14ac:dyDescent="0.25">
      <c r="A29" s="1" t="s">
        <v>155</v>
      </c>
      <c r="B29" s="1" t="s">
        <v>216</v>
      </c>
      <c r="C29" s="1" t="s">
        <v>245</v>
      </c>
      <c r="D29" s="1" t="s">
        <v>163</v>
      </c>
      <c r="E29" s="1" t="s">
        <v>345</v>
      </c>
    </row>
    <row r="30" spans="1:5" x14ac:dyDescent="0.25">
      <c r="A30" s="1" t="s">
        <v>153</v>
      </c>
      <c r="B30" s="1" t="s">
        <v>218</v>
      </c>
      <c r="C30" s="1" t="s">
        <v>246</v>
      </c>
      <c r="D30" s="1" t="s">
        <v>163</v>
      </c>
      <c r="E30" s="1" t="s">
        <v>346</v>
      </c>
    </row>
    <row r="31" spans="1:5" x14ac:dyDescent="0.25">
      <c r="A31" s="1" t="s">
        <v>149</v>
      </c>
      <c r="B31" s="1" t="s">
        <v>221</v>
      </c>
      <c r="C31" s="1" t="s">
        <v>247</v>
      </c>
      <c r="D31" s="1" t="s">
        <v>147</v>
      </c>
      <c r="E31" s="1" t="s">
        <v>347</v>
      </c>
    </row>
    <row r="32" spans="1:5" x14ac:dyDescent="0.25">
      <c r="A32" s="1" t="s">
        <v>153</v>
      </c>
      <c r="B32" s="1" t="s">
        <v>215</v>
      </c>
      <c r="C32" s="1" t="s">
        <v>248</v>
      </c>
      <c r="D32" s="1" t="s">
        <v>141</v>
      </c>
      <c r="E32" s="1" t="s">
        <v>348</v>
      </c>
    </row>
    <row r="33" spans="1:5" x14ac:dyDescent="0.25">
      <c r="A33" s="1" t="s">
        <v>144</v>
      </c>
      <c r="B33" s="1" t="s">
        <v>220</v>
      </c>
      <c r="C33" s="1" t="s">
        <v>249</v>
      </c>
      <c r="D33" s="1" t="s">
        <v>150</v>
      </c>
      <c r="E33" s="1" t="s">
        <v>349</v>
      </c>
    </row>
    <row r="34" spans="1:5" x14ac:dyDescent="0.25">
      <c r="A34" s="1" t="s">
        <v>140</v>
      </c>
      <c r="B34" s="1" t="s">
        <v>221</v>
      </c>
      <c r="C34" s="1" t="s">
        <v>250</v>
      </c>
      <c r="D34" s="1" t="s">
        <v>150</v>
      </c>
      <c r="E34" s="1" t="s">
        <v>350</v>
      </c>
    </row>
    <row r="35" spans="1:5" x14ac:dyDescent="0.25">
      <c r="A35" s="1" t="s">
        <v>153</v>
      </c>
      <c r="B35" s="1" t="s">
        <v>221</v>
      </c>
      <c r="C35" s="1" t="s">
        <v>251</v>
      </c>
      <c r="D35" s="1" t="s">
        <v>147</v>
      </c>
      <c r="E35" s="1" t="s">
        <v>351</v>
      </c>
    </row>
    <row r="36" spans="1:5" x14ac:dyDescent="0.25">
      <c r="A36" s="1" t="s">
        <v>153</v>
      </c>
      <c r="B36" s="1" t="s">
        <v>217</v>
      </c>
      <c r="C36" s="1" t="s">
        <v>252</v>
      </c>
      <c r="D36" s="1" t="s">
        <v>163</v>
      </c>
      <c r="E36" s="1" t="s">
        <v>352</v>
      </c>
    </row>
    <row r="37" spans="1:5" x14ac:dyDescent="0.25">
      <c r="A37" s="1" t="s">
        <v>153</v>
      </c>
      <c r="B37" s="1" t="s">
        <v>218</v>
      </c>
      <c r="C37" s="1" t="s">
        <v>253</v>
      </c>
      <c r="D37" s="1" t="s">
        <v>163</v>
      </c>
      <c r="E37" s="1" t="s">
        <v>353</v>
      </c>
    </row>
    <row r="38" spans="1:5" x14ac:dyDescent="0.25">
      <c r="A38" s="1" t="s">
        <v>155</v>
      </c>
      <c r="B38" s="1" t="s">
        <v>224</v>
      </c>
      <c r="C38" s="1" t="s">
        <v>254</v>
      </c>
      <c r="D38" s="1" t="s">
        <v>141</v>
      </c>
      <c r="E38" s="1" t="s">
        <v>354</v>
      </c>
    </row>
    <row r="39" spans="1:5" x14ac:dyDescent="0.25">
      <c r="A39" s="1" t="s">
        <v>155</v>
      </c>
      <c r="B39" s="1" t="s">
        <v>224</v>
      </c>
      <c r="C39" s="1" t="s">
        <v>255</v>
      </c>
      <c r="D39" s="1" t="s">
        <v>163</v>
      </c>
      <c r="E39" s="1" t="s">
        <v>355</v>
      </c>
    </row>
    <row r="40" spans="1:5" x14ac:dyDescent="0.25">
      <c r="A40" s="1" t="s">
        <v>153</v>
      </c>
      <c r="B40" s="1" t="s">
        <v>216</v>
      </c>
      <c r="C40" s="1" t="s">
        <v>256</v>
      </c>
      <c r="D40" s="1" t="s">
        <v>163</v>
      </c>
      <c r="E40" s="1" t="s">
        <v>356</v>
      </c>
    </row>
    <row r="41" spans="1:5" x14ac:dyDescent="0.25">
      <c r="A41" s="1" t="s">
        <v>149</v>
      </c>
      <c r="B41" s="1" t="s">
        <v>224</v>
      </c>
      <c r="C41" s="1" t="s">
        <v>257</v>
      </c>
      <c r="D41" s="1" t="s">
        <v>163</v>
      </c>
      <c r="E41" s="1" t="s">
        <v>357</v>
      </c>
    </row>
    <row r="42" spans="1:5" x14ac:dyDescent="0.25">
      <c r="A42" s="1" t="s">
        <v>140</v>
      </c>
      <c r="B42" s="1" t="s">
        <v>222</v>
      </c>
      <c r="C42" s="1" t="s">
        <v>258</v>
      </c>
      <c r="D42" s="1" t="s">
        <v>147</v>
      </c>
      <c r="E42" s="1" t="s">
        <v>358</v>
      </c>
    </row>
    <row r="43" spans="1:5" x14ac:dyDescent="0.25">
      <c r="A43" s="1" t="s">
        <v>155</v>
      </c>
      <c r="B43" s="1" t="s">
        <v>222</v>
      </c>
      <c r="C43" s="1" t="s">
        <v>259</v>
      </c>
      <c r="D43" s="1" t="s">
        <v>163</v>
      </c>
      <c r="E43" s="1" t="s">
        <v>359</v>
      </c>
    </row>
    <row r="44" spans="1:5" x14ac:dyDescent="0.25">
      <c r="A44" s="1" t="s">
        <v>140</v>
      </c>
      <c r="B44" s="1" t="s">
        <v>219</v>
      </c>
      <c r="C44" s="1" t="s">
        <v>260</v>
      </c>
      <c r="D44" s="1" t="s">
        <v>150</v>
      </c>
      <c r="E44" s="1" t="s">
        <v>360</v>
      </c>
    </row>
    <row r="45" spans="1:5" x14ac:dyDescent="0.25">
      <c r="A45" s="1" t="s">
        <v>155</v>
      </c>
      <c r="B45" s="1" t="s">
        <v>220</v>
      </c>
      <c r="C45" s="1" t="s">
        <v>261</v>
      </c>
      <c r="D45" s="1" t="s">
        <v>141</v>
      </c>
      <c r="E45" s="1" t="s">
        <v>361</v>
      </c>
    </row>
    <row r="46" spans="1:5" x14ac:dyDescent="0.25">
      <c r="A46" s="1" t="s">
        <v>149</v>
      </c>
      <c r="B46" s="1" t="s">
        <v>219</v>
      </c>
      <c r="C46" s="1" t="s">
        <v>262</v>
      </c>
      <c r="D46" s="1" t="s">
        <v>147</v>
      </c>
      <c r="E46" s="1" t="s">
        <v>362</v>
      </c>
    </row>
    <row r="47" spans="1:5" x14ac:dyDescent="0.25">
      <c r="A47" s="1" t="s">
        <v>144</v>
      </c>
      <c r="B47" s="1" t="s">
        <v>216</v>
      </c>
      <c r="C47" s="1" t="s">
        <v>263</v>
      </c>
      <c r="D47" s="1" t="s">
        <v>150</v>
      </c>
      <c r="E47" s="1" t="s">
        <v>363</v>
      </c>
    </row>
    <row r="48" spans="1:5" x14ac:dyDescent="0.25">
      <c r="A48" s="1" t="s">
        <v>155</v>
      </c>
      <c r="B48" s="1" t="s">
        <v>216</v>
      </c>
      <c r="C48" s="1" t="s">
        <v>264</v>
      </c>
      <c r="D48" s="1" t="s">
        <v>141</v>
      </c>
      <c r="E48" s="1" t="s">
        <v>364</v>
      </c>
    </row>
    <row r="49" spans="1:5" x14ac:dyDescent="0.25">
      <c r="A49" s="1" t="s">
        <v>149</v>
      </c>
      <c r="B49" s="1" t="s">
        <v>220</v>
      </c>
      <c r="C49" s="1" t="s">
        <v>265</v>
      </c>
      <c r="D49" s="1" t="s">
        <v>141</v>
      </c>
      <c r="E49" s="1" t="s">
        <v>365</v>
      </c>
    </row>
    <row r="50" spans="1:5" x14ac:dyDescent="0.25">
      <c r="A50" s="1" t="s">
        <v>140</v>
      </c>
      <c r="B50" s="1" t="s">
        <v>220</v>
      </c>
      <c r="C50" s="1" t="s">
        <v>266</v>
      </c>
      <c r="D50" s="1" t="s">
        <v>147</v>
      </c>
      <c r="E50" s="1" t="s">
        <v>366</v>
      </c>
    </row>
    <row r="51" spans="1:5" x14ac:dyDescent="0.25">
      <c r="A51" s="1" t="s">
        <v>140</v>
      </c>
      <c r="B51" s="1" t="s">
        <v>222</v>
      </c>
      <c r="C51" s="1" t="s">
        <v>267</v>
      </c>
      <c r="D51" s="1" t="s">
        <v>145</v>
      </c>
      <c r="E51" s="1" t="s">
        <v>367</v>
      </c>
    </row>
    <row r="52" spans="1:5" x14ac:dyDescent="0.25">
      <c r="A52" s="1" t="s">
        <v>155</v>
      </c>
      <c r="B52" s="1" t="s">
        <v>221</v>
      </c>
      <c r="C52" s="1" t="s">
        <v>268</v>
      </c>
      <c r="D52" s="1" t="s">
        <v>163</v>
      </c>
      <c r="E52" s="1" t="s">
        <v>368</v>
      </c>
    </row>
    <row r="53" spans="1:5" x14ac:dyDescent="0.25">
      <c r="A53" s="1" t="s">
        <v>140</v>
      </c>
      <c r="B53" s="1" t="s">
        <v>217</v>
      </c>
      <c r="C53" s="1" t="s">
        <v>269</v>
      </c>
      <c r="D53" s="1" t="s">
        <v>147</v>
      </c>
      <c r="E53" s="1" t="s">
        <v>369</v>
      </c>
    </row>
    <row r="54" spans="1:5" x14ac:dyDescent="0.25">
      <c r="A54" s="1" t="s">
        <v>140</v>
      </c>
      <c r="B54" s="1" t="s">
        <v>222</v>
      </c>
      <c r="C54" s="1" t="s">
        <v>270</v>
      </c>
      <c r="D54" s="1" t="s">
        <v>141</v>
      </c>
      <c r="E54" s="1" t="s">
        <v>370</v>
      </c>
    </row>
    <row r="55" spans="1:5" x14ac:dyDescent="0.25">
      <c r="A55" s="1" t="s">
        <v>155</v>
      </c>
      <c r="B55" s="1" t="s">
        <v>221</v>
      </c>
      <c r="C55" s="1" t="s">
        <v>271</v>
      </c>
      <c r="D55" s="1" t="s">
        <v>150</v>
      </c>
      <c r="E55" s="1" t="s">
        <v>371</v>
      </c>
    </row>
    <row r="56" spans="1:5" x14ac:dyDescent="0.25">
      <c r="A56" s="1" t="s">
        <v>140</v>
      </c>
      <c r="B56" s="1" t="s">
        <v>217</v>
      </c>
      <c r="C56" s="1" t="s">
        <v>272</v>
      </c>
      <c r="D56" s="1" t="s">
        <v>163</v>
      </c>
      <c r="E56" s="1" t="s">
        <v>372</v>
      </c>
    </row>
    <row r="57" spans="1:5" x14ac:dyDescent="0.25">
      <c r="A57" s="1" t="s">
        <v>144</v>
      </c>
      <c r="B57" s="1" t="s">
        <v>220</v>
      </c>
      <c r="C57" s="1" t="s">
        <v>273</v>
      </c>
      <c r="D57" s="1" t="s">
        <v>141</v>
      </c>
      <c r="E57" s="1" t="s">
        <v>373</v>
      </c>
    </row>
    <row r="58" spans="1:5" x14ac:dyDescent="0.25">
      <c r="A58" s="1" t="s">
        <v>153</v>
      </c>
      <c r="B58" s="1" t="s">
        <v>218</v>
      </c>
      <c r="C58" s="1" t="s">
        <v>274</v>
      </c>
      <c r="D58" s="1" t="s">
        <v>145</v>
      </c>
      <c r="E58" s="1" t="s">
        <v>374</v>
      </c>
    </row>
    <row r="59" spans="1:5" x14ac:dyDescent="0.25">
      <c r="A59" s="1" t="s">
        <v>149</v>
      </c>
      <c r="B59" s="1" t="s">
        <v>220</v>
      </c>
      <c r="C59" s="1" t="s">
        <v>275</v>
      </c>
      <c r="D59" s="1" t="s">
        <v>147</v>
      </c>
      <c r="E59" s="1" t="s">
        <v>375</v>
      </c>
    </row>
    <row r="60" spans="1:5" x14ac:dyDescent="0.25">
      <c r="A60" s="1" t="s">
        <v>155</v>
      </c>
      <c r="B60" s="1" t="s">
        <v>218</v>
      </c>
      <c r="C60" s="1" t="s">
        <v>276</v>
      </c>
      <c r="D60" s="1" t="s">
        <v>163</v>
      </c>
      <c r="E60" s="1" t="s">
        <v>376</v>
      </c>
    </row>
    <row r="61" spans="1:5" x14ac:dyDescent="0.25">
      <c r="A61" s="1" t="s">
        <v>153</v>
      </c>
      <c r="B61" s="1" t="s">
        <v>218</v>
      </c>
      <c r="C61" s="1" t="s">
        <v>277</v>
      </c>
      <c r="D61" s="1" t="s">
        <v>145</v>
      </c>
      <c r="E61" s="1" t="s">
        <v>377</v>
      </c>
    </row>
    <row r="62" spans="1:5" x14ac:dyDescent="0.25">
      <c r="A62" s="1" t="s">
        <v>144</v>
      </c>
      <c r="B62" s="1" t="s">
        <v>222</v>
      </c>
      <c r="C62" s="1" t="s">
        <v>278</v>
      </c>
      <c r="D62" s="1" t="s">
        <v>145</v>
      </c>
      <c r="E62" s="1" t="s">
        <v>378</v>
      </c>
    </row>
    <row r="63" spans="1:5" x14ac:dyDescent="0.25">
      <c r="A63" s="1" t="s">
        <v>149</v>
      </c>
      <c r="B63" s="1" t="s">
        <v>217</v>
      </c>
      <c r="C63" s="1" t="s">
        <v>279</v>
      </c>
      <c r="D63" s="1" t="s">
        <v>147</v>
      </c>
      <c r="E63" s="1" t="s">
        <v>379</v>
      </c>
    </row>
    <row r="64" spans="1:5" x14ac:dyDescent="0.25">
      <c r="A64" s="1" t="s">
        <v>153</v>
      </c>
      <c r="B64" s="1" t="s">
        <v>215</v>
      </c>
      <c r="C64" s="1" t="s">
        <v>280</v>
      </c>
      <c r="D64" s="1" t="s">
        <v>141</v>
      </c>
      <c r="E64" s="1" t="s">
        <v>380</v>
      </c>
    </row>
    <row r="65" spans="1:5" x14ac:dyDescent="0.25">
      <c r="A65" s="1" t="s">
        <v>155</v>
      </c>
      <c r="B65" s="1" t="s">
        <v>218</v>
      </c>
      <c r="C65" s="1" t="s">
        <v>281</v>
      </c>
      <c r="D65" s="1" t="s">
        <v>141</v>
      </c>
      <c r="E65" s="1" t="s">
        <v>381</v>
      </c>
    </row>
    <row r="66" spans="1:5" x14ac:dyDescent="0.25">
      <c r="A66" s="1" t="s">
        <v>149</v>
      </c>
      <c r="B66" s="1" t="s">
        <v>215</v>
      </c>
      <c r="C66" s="1" t="s">
        <v>282</v>
      </c>
      <c r="D66" s="1" t="s">
        <v>147</v>
      </c>
      <c r="E66" s="1" t="s">
        <v>382</v>
      </c>
    </row>
    <row r="67" spans="1:5" x14ac:dyDescent="0.25">
      <c r="A67" s="1" t="s">
        <v>140</v>
      </c>
      <c r="B67" s="1" t="s">
        <v>215</v>
      </c>
      <c r="C67" s="1" t="s">
        <v>283</v>
      </c>
      <c r="D67" s="1" t="s">
        <v>147</v>
      </c>
      <c r="E67" s="1" t="s">
        <v>383</v>
      </c>
    </row>
    <row r="68" spans="1:5" x14ac:dyDescent="0.25">
      <c r="A68" s="1" t="s">
        <v>155</v>
      </c>
      <c r="B68" s="1" t="s">
        <v>219</v>
      </c>
      <c r="C68" s="1" t="s">
        <v>284</v>
      </c>
      <c r="D68" s="1" t="s">
        <v>150</v>
      </c>
      <c r="E68" s="1" t="s">
        <v>384</v>
      </c>
    </row>
    <row r="69" spans="1:5" x14ac:dyDescent="0.25">
      <c r="A69" s="1" t="s">
        <v>155</v>
      </c>
      <c r="B69" s="1" t="s">
        <v>218</v>
      </c>
      <c r="C69" s="1" t="s">
        <v>285</v>
      </c>
      <c r="D69" s="1" t="s">
        <v>150</v>
      </c>
      <c r="E69" s="1" t="s">
        <v>385</v>
      </c>
    </row>
    <row r="70" spans="1:5" x14ac:dyDescent="0.25">
      <c r="A70" s="1" t="s">
        <v>153</v>
      </c>
      <c r="B70" s="1" t="s">
        <v>215</v>
      </c>
      <c r="C70" s="1" t="s">
        <v>286</v>
      </c>
      <c r="D70" s="1" t="s">
        <v>163</v>
      </c>
      <c r="E70" s="1" t="s">
        <v>386</v>
      </c>
    </row>
    <row r="71" spans="1:5" x14ac:dyDescent="0.25">
      <c r="A71" s="1" t="s">
        <v>144</v>
      </c>
      <c r="B71" s="1" t="s">
        <v>215</v>
      </c>
      <c r="C71" s="1" t="s">
        <v>287</v>
      </c>
      <c r="D71" s="1" t="s">
        <v>163</v>
      </c>
      <c r="E71" s="1" t="s">
        <v>387</v>
      </c>
    </row>
    <row r="72" spans="1:5" x14ac:dyDescent="0.25">
      <c r="A72" s="1" t="s">
        <v>155</v>
      </c>
      <c r="B72" s="1" t="s">
        <v>224</v>
      </c>
      <c r="C72" s="1" t="s">
        <v>288</v>
      </c>
      <c r="D72" s="1" t="s">
        <v>147</v>
      </c>
      <c r="E72" s="1" t="s">
        <v>388</v>
      </c>
    </row>
    <row r="73" spans="1:5" x14ac:dyDescent="0.25">
      <c r="A73" s="1" t="s">
        <v>140</v>
      </c>
      <c r="B73" s="1" t="s">
        <v>220</v>
      </c>
      <c r="C73" s="1" t="s">
        <v>289</v>
      </c>
      <c r="D73" s="1" t="s">
        <v>163</v>
      </c>
      <c r="E73" s="1" t="s">
        <v>389</v>
      </c>
    </row>
    <row r="74" spans="1:5" x14ac:dyDescent="0.25">
      <c r="A74" s="1" t="s">
        <v>149</v>
      </c>
      <c r="B74" s="1" t="s">
        <v>221</v>
      </c>
      <c r="C74" s="1" t="s">
        <v>290</v>
      </c>
      <c r="D74" s="1" t="s">
        <v>141</v>
      </c>
      <c r="E74" s="1" t="s">
        <v>390</v>
      </c>
    </row>
    <row r="75" spans="1:5" x14ac:dyDescent="0.25">
      <c r="A75" s="1" t="s">
        <v>155</v>
      </c>
      <c r="B75" s="1" t="s">
        <v>215</v>
      </c>
      <c r="C75" s="1" t="s">
        <v>291</v>
      </c>
      <c r="D75" s="1" t="s">
        <v>141</v>
      </c>
      <c r="E75" s="1" t="s">
        <v>391</v>
      </c>
    </row>
    <row r="76" spans="1:5" x14ac:dyDescent="0.25">
      <c r="A76" s="1" t="s">
        <v>140</v>
      </c>
      <c r="B76" s="1" t="s">
        <v>222</v>
      </c>
      <c r="C76" s="1" t="s">
        <v>292</v>
      </c>
      <c r="D76" s="1" t="s">
        <v>150</v>
      </c>
      <c r="E76" s="1" t="s">
        <v>392</v>
      </c>
    </row>
    <row r="77" spans="1:5" x14ac:dyDescent="0.25">
      <c r="A77" s="1" t="s">
        <v>153</v>
      </c>
      <c r="B77" s="1" t="s">
        <v>220</v>
      </c>
      <c r="C77" s="1" t="s">
        <v>293</v>
      </c>
      <c r="D77" s="1" t="s">
        <v>163</v>
      </c>
      <c r="E77" s="1" t="s">
        <v>393</v>
      </c>
    </row>
    <row r="78" spans="1:5" x14ac:dyDescent="0.25">
      <c r="A78" s="1" t="s">
        <v>144</v>
      </c>
      <c r="B78" s="1" t="s">
        <v>219</v>
      </c>
      <c r="C78" s="1" t="s">
        <v>294</v>
      </c>
      <c r="D78" s="1" t="s">
        <v>147</v>
      </c>
      <c r="E78" s="1" t="s">
        <v>394</v>
      </c>
    </row>
    <row r="79" spans="1:5" x14ac:dyDescent="0.25">
      <c r="A79" s="1" t="s">
        <v>153</v>
      </c>
      <c r="B79" s="1" t="s">
        <v>219</v>
      </c>
      <c r="C79" s="1" t="s">
        <v>295</v>
      </c>
      <c r="D79" s="1" t="s">
        <v>163</v>
      </c>
      <c r="E79" s="1" t="s">
        <v>395</v>
      </c>
    </row>
    <row r="80" spans="1:5" x14ac:dyDescent="0.25">
      <c r="A80" s="1" t="s">
        <v>140</v>
      </c>
      <c r="B80" s="1" t="s">
        <v>218</v>
      </c>
      <c r="C80" s="1" t="s">
        <v>296</v>
      </c>
      <c r="D80" s="1" t="s">
        <v>145</v>
      </c>
      <c r="E80" s="1" t="s">
        <v>396</v>
      </c>
    </row>
    <row r="81" spans="1:5" x14ac:dyDescent="0.25">
      <c r="A81" s="1" t="s">
        <v>144</v>
      </c>
      <c r="B81" s="1" t="s">
        <v>217</v>
      </c>
      <c r="C81" s="1" t="s">
        <v>297</v>
      </c>
      <c r="D81" s="1" t="s">
        <v>150</v>
      </c>
      <c r="E81" s="1" t="s">
        <v>397</v>
      </c>
    </row>
    <row r="82" spans="1:5" x14ac:dyDescent="0.25">
      <c r="A82" s="1" t="s">
        <v>153</v>
      </c>
      <c r="B82" s="1" t="s">
        <v>219</v>
      </c>
      <c r="C82" s="1" t="s">
        <v>298</v>
      </c>
      <c r="D82" s="1" t="s">
        <v>147</v>
      </c>
      <c r="E82" s="1" t="s">
        <v>398</v>
      </c>
    </row>
    <row r="83" spans="1:5" x14ac:dyDescent="0.25">
      <c r="A83" s="1" t="s">
        <v>144</v>
      </c>
      <c r="B83" s="1" t="s">
        <v>217</v>
      </c>
      <c r="C83" s="1" t="s">
        <v>299</v>
      </c>
      <c r="D83" s="1" t="s">
        <v>145</v>
      </c>
      <c r="E83" s="1" t="s">
        <v>399</v>
      </c>
    </row>
    <row r="84" spans="1:5" x14ac:dyDescent="0.25">
      <c r="A84" s="1" t="s">
        <v>155</v>
      </c>
      <c r="B84" s="1" t="s">
        <v>223</v>
      </c>
      <c r="C84" s="1" t="s">
        <v>300</v>
      </c>
      <c r="D84" s="1" t="s">
        <v>150</v>
      </c>
      <c r="E84" s="1" t="s">
        <v>400</v>
      </c>
    </row>
    <row r="85" spans="1:5" x14ac:dyDescent="0.25">
      <c r="A85" s="1" t="s">
        <v>155</v>
      </c>
      <c r="B85" s="1" t="s">
        <v>220</v>
      </c>
      <c r="C85" s="1" t="s">
        <v>301</v>
      </c>
      <c r="D85" s="1" t="s">
        <v>150</v>
      </c>
      <c r="E85" s="1" t="s">
        <v>401</v>
      </c>
    </row>
    <row r="86" spans="1:5" x14ac:dyDescent="0.25">
      <c r="A86" s="1" t="s">
        <v>144</v>
      </c>
      <c r="B86" s="1" t="s">
        <v>218</v>
      </c>
      <c r="C86" s="1" t="s">
        <v>302</v>
      </c>
      <c r="D86" s="1" t="s">
        <v>145</v>
      </c>
      <c r="E86" s="1" t="s">
        <v>402</v>
      </c>
    </row>
    <row r="87" spans="1:5" x14ac:dyDescent="0.25">
      <c r="A87" s="1" t="s">
        <v>153</v>
      </c>
      <c r="B87" s="1" t="s">
        <v>219</v>
      </c>
      <c r="C87" s="1" t="s">
        <v>303</v>
      </c>
      <c r="D87" s="1" t="s">
        <v>163</v>
      </c>
      <c r="E87" s="1" t="s">
        <v>403</v>
      </c>
    </row>
    <row r="88" spans="1:5" x14ac:dyDescent="0.25">
      <c r="A88" s="1" t="s">
        <v>149</v>
      </c>
      <c r="B88" s="1" t="s">
        <v>219</v>
      </c>
      <c r="C88" s="1" t="s">
        <v>304</v>
      </c>
      <c r="D88" s="1" t="s">
        <v>150</v>
      </c>
      <c r="E88" s="1" t="s">
        <v>404</v>
      </c>
    </row>
    <row r="89" spans="1:5" x14ac:dyDescent="0.25">
      <c r="A89" s="1" t="s">
        <v>153</v>
      </c>
      <c r="B89" s="1" t="s">
        <v>217</v>
      </c>
      <c r="C89" s="1" t="s">
        <v>305</v>
      </c>
      <c r="D89" s="1" t="s">
        <v>163</v>
      </c>
      <c r="E89" s="1" t="s">
        <v>405</v>
      </c>
    </row>
    <row r="90" spans="1:5" x14ac:dyDescent="0.25">
      <c r="A90" s="1" t="s">
        <v>155</v>
      </c>
      <c r="B90" s="1" t="s">
        <v>222</v>
      </c>
      <c r="C90" s="1" t="s">
        <v>306</v>
      </c>
      <c r="D90" s="1" t="s">
        <v>163</v>
      </c>
      <c r="E90" s="1" t="s">
        <v>406</v>
      </c>
    </row>
    <row r="91" spans="1:5" x14ac:dyDescent="0.25">
      <c r="A91" s="1" t="s">
        <v>153</v>
      </c>
      <c r="B91" s="1" t="s">
        <v>222</v>
      </c>
      <c r="C91" s="1" t="s">
        <v>307</v>
      </c>
      <c r="D91" s="1" t="s">
        <v>147</v>
      </c>
      <c r="E91" s="1" t="s">
        <v>407</v>
      </c>
    </row>
    <row r="92" spans="1:5" x14ac:dyDescent="0.25">
      <c r="A92" s="1" t="s">
        <v>155</v>
      </c>
      <c r="B92" s="1" t="s">
        <v>221</v>
      </c>
      <c r="C92" s="1" t="s">
        <v>308</v>
      </c>
      <c r="D92" s="1" t="s">
        <v>147</v>
      </c>
      <c r="E92" s="1" t="s">
        <v>408</v>
      </c>
    </row>
    <row r="93" spans="1:5" x14ac:dyDescent="0.25">
      <c r="A93" s="1" t="s">
        <v>155</v>
      </c>
      <c r="B93" s="1" t="s">
        <v>223</v>
      </c>
      <c r="C93" s="1" t="s">
        <v>309</v>
      </c>
      <c r="D93" s="1" t="s">
        <v>150</v>
      </c>
      <c r="E93" s="1" t="s">
        <v>409</v>
      </c>
    </row>
    <row r="94" spans="1:5" x14ac:dyDescent="0.25">
      <c r="A94" s="1" t="s">
        <v>153</v>
      </c>
      <c r="B94" s="1" t="s">
        <v>223</v>
      </c>
      <c r="C94" s="1" t="s">
        <v>310</v>
      </c>
      <c r="D94" s="1" t="s">
        <v>150</v>
      </c>
      <c r="E94" s="1" t="s">
        <v>410</v>
      </c>
    </row>
    <row r="95" spans="1:5" x14ac:dyDescent="0.25">
      <c r="A95" s="1" t="s">
        <v>149</v>
      </c>
      <c r="B95" s="1" t="s">
        <v>221</v>
      </c>
      <c r="C95" s="1" t="s">
        <v>311</v>
      </c>
      <c r="D95" s="1" t="s">
        <v>147</v>
      </c>
      <c r="E95" s="1" t="s">
        <v>411</v>
      </c>
    </row>
    <row r="96" spans="1:5" x14ac:dyDescent="0.25">
      <c r="A96" s="1" t="s">
        <v>153</v>
      </c>
      <c r="B96" s="1" t="s">
        <v>221</v>
      </c>
      <c r="C96" s="1" t="s">
        <v>312</v>
      </c>
      <c r="D96" s="1" t="s">
        <v>141</v>
      </c>
      <c r="E96" s="1" t="s">
        <v>412</v>
      </c>
    </row>
    <row r="97" spans="1:5" x14ac:dyDescent="0.25">
      <c r="A97" s="1" t="s">
        <v>140</v>
      </c>
      <c r="B97" s="1" t="s">
        <v>218</v>
      </c>
      <c r="C97" s="1" t="s">
        <v>313</v>
      </c>
      <c r="D97" s="1" t="s">
        <v>145</v>
      </c>
      <c r="E97" s="1" t="s">
        <v>413</v>
      </c>
    </row>
    <row r="98" spans="1:5" x14ac:dyDescent="0.25">
      <c r="A98" s="1" t="s">
        <v>155</v>
      </c>
      <c r="B98" s="1" t="s">
        <v>220</v>
      </c>
      <c r="C98" s="1" t="s">
        <v>314</v>
      </c>
      <c r="D98" s="1" t="s">
        <v>163</v>
      </c>
      <c r="E98" s="1" t="s">
        <v>414</v>
      </c>
    </row>
    <row r="99" spans="1:5" x14ac:dyDescent="0.25">
      <c r="A99" s="1" t="s">
        <v>153</v>
      </c>
      <c r="B99" s="1" t="s">
        <v>220</v>
      </c>
      <c r="C99" s="1" t="s">
        <v>315</v>
      </c>
      <c r="D99" s="1" t="s">
        <v>145</v>
      </c>
      <c r="E99" s="1" t="s">
        <v>415</v>
      </c>
    </row>
    <row r="100" spans="1:5" x14ac:dyDescent="0.25">
      <c r="A100" s="1" t="s">
        <v>140</v>
      </c>
      <c r="B100" s="1" t="s">
        <v>224</v>
      </c>
      <c r="C100" s="1" t="s">
        <v>316</v>
      </c>
      <c r="D100" s="1" t="s">
        <v>163</v>
      </c>
      <c r="E100" s="1" t="s">
        <v>416</v>
      </c>
    </row>
    <row r="101" spans="1:5" x14ac:dyDescent="0.25">
      <c r="A101" s="1" t="s">
        <v>144</v>
      </c>
      <c r="B101" s="1" t="s">
        <v>220</v>
      </c>
      <c r="C101" s="1" t="s">
        <v>317</v>
      </c>
      <c r="D101" s="1" t="s">
        <v>147</v>
      </c>
      <c r="E101" s="1" t="s">
        <v>417</v>
      </c>
    </row>
    <row r="102" spans="1:5" x14ac:dyDescent="0.25">
      <c r="A102" s="1" t="s">
        <v>140</v>
      </c>
      <c r="B102" s="1" t="s">
        <v>221</v>
      </c>
      <c r="C102" s="1" t="s">
        <v>318</v>
      </c>
      <c r="D102" s="1" t="s">
        <v>150</v>
      </c>
      <c r="E102" s="1" t="s">
        <v>418</v>
      </c>
    </row>
    <row r="103" spans="1:5" x14ac:dyDescent="0.25">
      <c r="A103" s="1" t="s">
        <v>149</v>
      </c>
      <c r="B103" s="1" t="s">
        <v>223</v>
      </c>
      <c r="C103" s="1" t="s">
        <v>319</v>
      </c>
      <c r="D103" s="1" t="s">
        <v>163</v>
      </c>
      <c r="E103" s="1" t="s">
        <v>419</v>
      </c>
    </row>
    <row r="104" spans="1:5" x14ac:dyDescent="0.25">
      <c r="A104" s="1" t="s">
        <v>144</v>
      </c>
      <c r="B104" s="1" t="s">
        <v>219</v>
      </c>
      <c r="C104" s="1" t="s">
        <v>320</v>
      </c>
      <c r="D104" s="1" t="s">
        <v>141</v>
      </c>
      <c r="E104" s="1" t="s">
        <v>420</v>
      </c>
    </row>
    <row r="105" spans="1:5" x14ac:dyDescent="0.25">
      <c r="A105" s="1" t="s">
        <v>140</v>
      </c>
      <c r="B105" s="1" t="s">
        <v>218</v>
      </c>
      <c r="C105" s="1" t="s">
        <v>321</v>
      </c>
      <c r="D105" s="1" t="s">
        <v>163</v>
      </c>
      <c r="E105" s="1" t="s">
        <v>421</v>
      </c>
    </row>
    <row r="106" spans="1:5" x14ac:dyDescent="0.25">
      <c r="A106" s="1" t="s">
        <v>149</v>
      </c>
      <c r="B106" s="1" t="s">
        <v>216</v>
      </c>
      <c r="C106" s="1" t="s">
        <v>322</v>
      </c>
      <c r="D106" s="1" t="s">
        <v>163</v>
      </c>
      <c r="E106" s="1" t="s">
        <v>422</v>
      </c>
    </row>
    <row r="107" spans="1:5" x14ac:dyDescent="0.25">
      <c r="A107" s="1" t="s">
        <v>140</v>
      </c>
      <c r="B107" s="1" t="s">
        <v>223</v>
      </c>
      <c r="C107" s="1" t="s">
        <v>323</v>
      </c>
      <c r="D107" s="1" t="s">
        <v>163</v>
      </c>
      <c r="E107" s="1" t="s">
        <v>423</v>
      </c>
    </row>
    <row r="108" spans="1:5" x14ac:dyDescent="0.25">
      <c r="A108" s="1" t="s">
        <v>149</v>
      </c>
      <c r="B108" s="1" t="s">
        <v>222</v>
      </c>
      <c r="C108" s="1" t="s">
        <v>324</v>
      </c>
      <c r="D108" s="1" t="s">
        <v>150</v>
      </c>
      <c r="E108" s="1" t="s">
        <v>424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0ED9A-0531-42E6-A39D-B7532097E2FD}">
  <sheetPr codeName="Planilha2" filterMode="1"/>
  <dimension ref="A1:I435"/>
  <sheetViews>
    <sheetView showGridLines="0" zoomScale="107" zoomScaleNormal="115" workbookViewId="0">
      <selection activeCell="C39" sqref="C39"/>
    </sheetView>
  </sheetViews>
  <sheetFormatPr defaultRowHeight="15" x14ac:dyDescent="0.25"/>
  <cols>
    <col min="1" max="1" width="15.7109375" customWidth="1"/>
    <col min="2" max="2" width="18" customWidth="1"/>
    <col min="3" max="3" width="17.42578125" customWidth="1"/>
    <col min="4" max="4" width="20" customWidth="1"/>
    <col min="5" max="5" width="18.5703125" customWidth="1"/>
    <col min="6" max="6" width="20.7109375" customWidth="1"/>
    <col min="7" max="7" width="23.140625" customWidth="1"/>
    <col min="8" max="8" width="20" customWidth="1"/>
    <col min="9" max="9" width="19.28515625" customWidth="1"/>
  </cols>
  <sheetData>
    <row r="1" spans="1:9" x14ac:dyDescent="0.25">
      <c r="A1" s="9" t="s">
        <v>111</v>
      </c>
      <c r="B1" s="1">
        <v>20</v>
      </c>
    </row>
    <row r="2" spans="1:9" x14ac:dyDescent="0.25">
      <c r="A2" s="9" t="s">
        <v>112</v>
      </c>
      <c r="B2" s="1" t="str">
        <f>VLOOKUP(B1,Entrada!B10:C1153,2,FALSE)</f>
        <v>Pastel</v>
      </c>
    </row>
    <row r="3" spans="1:9" x14ac:dyDescent="0.25">
      <c r="A3" s="9" t="s">
        <v>113</v>
      </c>
      <c r="B3" s="1" t="str">
        <f>VLOOKUP(B1,Entrada!B10:D1153,3,FALSE)</f>
        <v>Alimento</v>
      </c>
    </row>
    <row r="4" spans="1:9" x14ac:dyDescent="0.25">
      <c r="A4" s="9" t="s">
        <v>114</v>
      </c>
      <c r="B4" s="11"/>
    </row>
    <row r="5" spans="1:9" x14ac:dyDescent="0.25">
      <c r="A5" s="9" t="s">
        <v>115</v>
      </c>
      <c r="B5" s="11"/>
    </row>
    <row r="6" spans="1:9" x14ac:dyDescent="0.25">
      <c r="A6" s="9" t="s">
        <v>116</v>
      </c>
      <c r="B6" s="15"/>
    </row>
    <row r="7" spans="1:9" x14ac:dyDescent="0.25">
      <c r="A7" s="9" t="s">
        <v>117</v>
      </c>
      <c r="B7" s="13">
        <v>100</v>
      </c>
    </row>
    <row r="8" spans="1:9" x14ac:dyDescent="0.25">
      <c r="A8" s="9" t="s">
        <v>118</v>
      </c>
      <c r="B8" s="13">
        <v>200</v>
      </c>
    </row>
    <row r="9" spans="1:9" x14ac:dyDescent="0.25">
      <c r="A9" s="9" t="s">
        <v>119</v>
      </c>
      <c r="B9" s="15"/>
    </row>
    <row r="11" spans="1:9" x14ac:dyDescent="0.25">
      <c r="A11" s="9" t="s">
        <v>111</v>
      </c>
      <c r="B11" s="9" t="s">
        <v>112</v>
      </c>
      <c r="C11" s="9" t="s">
        <v>113</v>
      </c>
      <c r="D11" s="9" t="s">
        <v>114</v>
      </c>
      <c r="E11" s="9" t="s">
        <v>115</v>
      </c>
      <c r="F11" s="9" t="s">
        <v>116</v>
      </c>
      <c r="G11" s="9" t="s">
        <v>117</v>
      </c>
      <c r="H11" s="9" t="s">
        <v>118</v>
      </c>
      <c r="I11" s="9" t="s">
        <v>119</v>
      </c>
    </row>
    <row r="12" spans="1:9" hidden="1" x14ac:dyDescent="0.25">
      <c r="A12" s="1">
        <v>12</v>
      </c>
      <c r="B12" s="1" t="s">
        <v>159</v>
      </c>
      <c r="C12" s="1" t="s">
        <v>126</v>
      </c>
      <c r="D12" s="11">
        <f>E12-F12</f>
        <v>18854</v>
      </c>
      <c r="E12" s="11">
        <f>SUMIF(Entrada!C:C,Produtos!B20,Entrada!E:E)</f>
        <v>18929</v>
      </c>
      <c r="F12" s="11">
        <f>SUMIF(Saída!D:D,Produtos!B20,Saída!F:F)</f>
        <v>75</v>
      </c>
      <c r="G12" s="13">
        <v>10000</v>
      </c>
      <c r="H12" s="13">
        <v>200000</v>
      </c>
      <c r="I12" s="11" t="str">
        <f>IF(G12&gt;=D12,"REPOR","")</f>
        <v/>
      </c>
    </row>
    <row r="13" spans="1:9" x14ac:dyDescent="0.25">
      <c r="A13" s="1">
        <v>6</v>
      </c>
      <c r="B13" s="1" t="s">
        <v>146</v>
      </c>
      <c r="C13" s="1" t="s">
        <v>138</v>
      </c>
      <c r="D13" s="11">
        <f>E13-F13</f>
        <v>37674</v>
      </c>
      <c r="E13" s="11">
        <f>SUMIF(Entrada!C:C,Produtos!B26,Entrada!E:E)</f>
        <v>38281</v>
      </c>
      <c r="F13" s="11">
        <f>SUMIF(Saída!D:D,Produtos!B26,Saída!F:F)</f>
        <v>607</v>
      </c>
      <c r="G13" s="13">
        <v>100000</v>
      </c>
      <c r="H13" s="13">
        <v>200000</v>
      </c>
      <c r="I13" s="11" t="str">
        <f>IF(G13&gt;=D13,"REPOR","")</f>
        <v>REPOR</v>
      </c>
    </row>
    <row r="14" spans="1:9" hidden="1" x14ac:dyDescent="0.25">
      <c r="A14" s="1">
        <v>20</v>
      </c>
      <c r="B14" s="1" t="s">
        <v>167</v>
      </c>
      <c r="C14" s="1" t="s">
        <v>126</v>
      </c>
      <c r="D14" s="11">
        <f>E14-F14</f>
        <v>18763</v>
      </c>
      <c r="E14" s="11">
        <f>SUMIF(Entrada!C:C,Produtos!B25,Entrada!E:E)</f>
        <v>18929</v>
      </c>
      <c r="F14" s="11">
        <f>SUMIF(Saída!D:D,Produtos!B25,Saída!F:F)</f>
        <v>166</v>
      </c>
      <c r="G14" s="13">
        <v>100</v>
      </c>
      <c r="H14" s="13">
        <v>20000</v>
      </c>
      <c r="I14" s="11" t="str">
        <f>IF(G14&gt;=D14,"REPOR","")</f>
        <v/>
      </c>
    </row>
    <row r="15" spans="1:9" x14ac:dyDescent="0.25">
      <c r="A15" s="1">
        <v>7</v>
      </c>
      <c r="B15" s="1" t="s">
        <v>154</v>
      </c>
      <c r="C15" s="1" t="s">
        <v>126</v>
      </c>
      <c r="D15" s="11">
        <f>E15-F15</f>
        <v>18763</v>
      </c>
      <c r="E15" s="11">
        <f>SUMIF(Entrada!C:C,Produtos!B25,Entrada!E:E)</f>
        <v>18929</v>
      </c>
      <c r="F15" s="11">
        <f>SUMIF(Saída!D:D,Produtos!B25,Saída!F:F)</f>
        <v>166</v>
      </c>
      <c r="G15" s="13">
        <v>100000</v>
      </c>
      <c r="H15" s="13">
        <v>20000</v>
      </c>
      <c r="I15" s="11" t="str">
        <f>IF(G15&gt;=D15,"REPOR","")</f>
        <v>REPOR</v>
      </c>
    </row>
    <row r="16" spans="1:9" x14ac:dyDescent="0.25">
      <c r="A16" s="1">
        <v>19</v>
      </c>
      <c r="B16" s="1" t="s">
        <v>166</v>
      </c>
      <c r="C16" s="1" t="s">
        <v>136</v>
      </c>
      <c r="D16" s="11">
        <f>E16-F16</f>
        <v>39942</v>
      </c>
      <c r="E16" s="11">
        <f>SUMIF(Entrada!C:C,Produtos!B14,Entrada!E:E)</f>
        <v>40160</v>
      </c>
      <c r="F16" s="11">
        <f>SUMIF(Saída!D:D,Produtos!B14,Saída!F:F)</f>
        <v>218</v>
      </c>
      <c r="G16" s="13">
        <v>100000</v>
      </c>
      <c r="H16" s="13">
        <v>200000</v>
      </c>
      <c r="I16" s="11" t="str">
        <f>IF(G16&gt;=D16,"REPOR","")</f>
        <v>REPOR</v>
      </c>
    </row>
    <row r="17" spans="1:9" hidden="1" x14ac:dyDescent="0.25">
      <c r="A17" s="1">
        <v>13</v>
      </c>
      <c r="B17" s="1" t="s">
        <v>160</v>
      </c>
      <c r="C17" s="1" t="s">
        <v>126</v>
      </c>
      <c r="D17" s="11">
        <f>E17-F17</f>
        <v>12124</v>
      </c>
      <c r="E17" s="11">
        <f>SUMIF(Entrada!C:C,Produtos!B19,Entrada!E:E)</f>
        <v>12700</v>
      </c>
      <c r="F17" s="11">
        <f>SUMIF(Saída!D:D,Produtos!B19,Saída!F:F)</f>
        <v>576</v>
      </c>
      <c r="G17" s="13">
        <v>100000</v>
      </c>
      <c r="H17" s="13">
        <v>200000</v>
      </c>
      <c r="I17" s="11" t="str">
        <f>IF(G17&gt;=D17,"REPOR","")</f>
        <v>REPOR</v>
      </c>
    </row>
    <row r="18" spans="1:9" x14ac:dyDescent="0.25">
      <c r="A18" s="1">
        <v>20</v>
      </c>
      <c r="B18" s="1" t="s">
        <v>167</v>
      </c>
      <c r="C18" s="1" t="s">
        <v>126</v>
      </c>
      <c r="D18" s="11">
        <f>E18-F18</f>
        <v>19365</v>
      </c>
      <c r="E18" s="11">
        <f>SUMIF(Entrada!C:C,Produtos!B13,Entrada!E:E)</f>
        <v>20160</v>
      </c>
      <c r="F18" s="11">
        <f>SUMIF(Saída!D:D,Produtos!B13,Saída!F:F)</f>
        <v>795</v>
      </c>
      <c r="G18" s="13">
        <v>100000</v>
      </c>
      <c r="H18" s="13">
        <v>200000</v>
      </c>
      <c r="I18" s="11" t="str">
        <f>IF(G18&gt;=D18,"REPOR","")</f>
        <v>REPOR</v>
      </c>
    </row>
    <row r="19" spans="1:9" x14ac:dyDescent="0.25">
      <c r="A19" s="1">
        <v>4</v>
      </c>
      <c r="B19" s="1" t="s">
        <v>148</v>
      </c>
      <c r="C19" s="1" t="s">
        <v>126</v>
      </c>
      <c r="D19" s="11">
        <f>E19-F19</f>
        <v>40063</v>
      </c>
      <c r="E19" s="11">
        <f>SUMIF(Entrada!C:C,Produtos!B28,Entrada!E:E)</f>
        <v>40981</v>
      </c>
      <c r="F19" s="11">
        <f>SUMIF(Saída!D:D,Produtos!B28,Saída!F:F)</f>
        <v>918</v>
      </c>
      <c r="G19" s="13">
        <v>100000</v>
      </c>
      <c r="H19" s="13">
        <v>20000</v>
      </c>
      <c r="I19" s="11" t="str">
        <f>IF(G19&gt;=D19,"REPOR","")</f>
        <v>REPOR</v>
      </c>
    </row>
    <row r="20" spans="1:9" x14ac:dyDescent="0.25">
      <c r="A20" s="1">
        <v>5</v>
      </c>
      <c r="B20" s="1" t="s">
        <v>151</v>
      </c>
      <c r="C20" s="1" t="s">
        <v>126</v>
      </c>
      <c r="D20" s="11">
        <f>E20-F20</f>
        <v>31187</v>
      </c>
      <c r="E20" s="11">
        <f>SUMIF(Entrada!C:C,Produtos!B27,Entrada!E:E)</f>
        <v>31232</v>
      </c>
      <c r="F20" s="11">
        <f>SUMIF(Saída!D:D,Produtos!B27,Saída!F:F)</f>
        <v>45</v>
      </c>
      <c r="G20" s="13">
        <v>100000</v>
      </c>
      <c r="H20" s="13">
        <v>20000</v>
      </c>
      <c r="I20" s="11" t="str">
        <f>IF(G20&gt;=D20,"REPOR","")</f>
        <v>REPOR</v>
      </c>
    </row>
    <row r="21" spans="1:9" hidden="1" x14ac:dyDescent="0.25">
      <c r="A21" s="1">
        <v>17</v>
      </c>
      <c r="B21" s="1" t="s">
        <v>164</v>
      </c>
      <c r="C21" s="1" t="s">
        <v>138</v>
      </c>
      <c r="D21" s="11">
        <f>E21-F21</f>
        <v>105294</v>
      </c>
      <c r="E21" s="11">
        <f>SUMIF(Entrada!C:C,Produtos!B16,Entrada!E:E)</f>
        <v>105493</v>
      </c>
      <c r="F21" s="11">
        <f>SUMIF(Saída!D:D,Produtos!B16,Saída!F:F)</f>
        <v>199</v>
      </c>
      <c r="G21" s="13">
        <v>100000</v>
      </c>
      <c r="H21" s="13">
        <v>200</v>
      </c>
      <c r="I21" s="11" t="str">
        <f>IF(G21&gt;=D21,"REPOR","")</f>
        <v/>
      </c>
    </row>
    <row r="22" spans="1:9" hidden="1" x14ac:dyDescent="0.25">
      <c r="A22" s="1">
        <v>1</v>
      </c>
      <c r="B22" s="1" t="s">
        <v>139</v>
      </c>
      <c r="C22" s="1" t="s">
        <v>126</v>
      </c>
      <c r="D22" s="11">
        <f>E22-F22</f>
        <v>18929</v>
      </c>
      <c r="E22" s="11">
        <f>SUMIF(Entrada!C:C,Produtos!B30,Entrada!E:E)</f>
        <v>18929</v>
      </c>
      <c r="F22" s="11">
        <f>SUMIF(Saída!D:D,Produtos!B30,Saída!F:F)</f>
        <v>0</v>
      </c>
      <c r="G22" s="13">
        <v>10000</v>
      </c>
      <c r="H22" s="13">
        <v>200000</v>
      </c>
      <c r="I22" s="11" t="str">
        <f>IF(G22&gt;=D22,"REPOR","")</f>
        <v/>
      </c>
    </row>
    <row r="23" spans="1:9" hidden="1" x14ac:dyDescent="0.25">
      <c r="A23" s="1">
        <v>11</v>
      </c>
      <c r="B23" s="1" t="s">
        <v>156</v>
      </c>
      <c r="C23" s="1" t="s">
        <v>136</v>
      </c>
      <c r="D23" s="11">
        <f>E23-F23</f>
        <v>18475</v>
      </c>
      <c r="E23" s="11">
        <f>SUMIF(Entrada!C:C,Produtos!B21,Entrada!E:E)</f>
        <v>18929</v>
      </c>
      <c r="F23" s="11">
        <f>SUMIF(Saída!D:D,Produtos!B21,Saída!F:F)</f>
        <v>454</v>
      </c>
      <c r="G23" s="13">
        <v>10000</v>
      </c>
      <c r="H23" s="13">
        <v>20000</v>
      </c>
      <c r="I23" s="11" t="str">
        <f>IF(G23&gt;=D23,"REPOR","")</f>
        <v/>
      </c>
    </row>
    <row r="24" spans="1:9" x14ac:dyDescent="0.25">
      <c r="A24" s="1">
        <v>14</v>
      </c>
      <c r="B24" s="1" t="s">
        <v>161</v>
      </c>
      <c r="C24" s="1" t="s">
        <v>126</v>
      </c>
      <c r="D24" s="11">
        <f>E24-F24</f>
        <v>39942</v>
      </c>
      <c r="E24" s="11">
        <f>SUMIF(Entrada!C:C,Produtos!B18,Entrada!E:E)</f>
        <v>40160</v>
      </c>
      <c r="F24" s="11">
        <f>SUMIF(Saída!D:D,Produtos!B18,Saída!F:F)</f>
        <v>218</v>
      </c>
      <c r="G24" s="13">
        <v>100000</v>
      </c>
      <c r="H24" s="13">
        <v>20000</v>
      </c>
      <c r="I24" s="11" t="str">
        <f>IF(G24&gt;=D24,"REPOR","")</f>
        <v>REPOR</v>
      </c>
    </row>
    <row r="25" spans="1:9" hidden="1" x14ac:dyDescent="0.25">
      <c r="A25" s="1">
        <v>9</v>
      </c>
      <c r="B25" s="1" t="s">
        <v>157</v>
      </c>
      <c r="C25" s="1" t="s">
        <v>126</v>
      </c>
      <c r="D25" s="11">
        <f>E25-F25</f>
        <v>62709</v>
      </c>
      <c r="E25" s="11">
        <f>SUMIF(Entrada!C:C,Produtos!B23,Entrada!E:E)</f>
        <v>63252</v>
      </c>
      <c r="F25" s="11">
        <f>SUMIF(Saída!D:D,Produtos!B23,Saída!F:F)</f>
        <v>543</v>
      </c>
      <c r="G25" s="13">
        <v>10000</v>
      </c>
      <c r="H25" s="13">
        <v>200000</v>
      </c>
      <c r="I25" s="11" t="str">
        <f>IF(G25&gt;=D25,"REPOR","")</f>
        <v/>
      </c>
    </row>
    <row r="26" spans="1:9" hidden="1" x14ac:dyDescent="0.25">
      <c r="A26" s="1">
        <v>10</v>
      </c>
      <c r="B26" s="1" t="s">
        <v>158</v>
      </c>
      <c r="C26" s="1" t="s">
        <v>138</v>
      </c>
      <c r="D26" s="11">
        <f>E26-F26</f>
        <v>37782</v>
      </c>
      <c r="E26" s="11">
        <f>SUMIF(Entrada!C:C,Produtos!B22,Entrada!E:E)</f>
        <v>37858</v>
      </c>
      <c r="F26" s="11">
        <f>SUMIF(Saída!D:D,Produtos!B22,Saída!F:F)</f>
        <v>76</v>
      </c>
      <c r="G26" s="13">
        <v>10000</v>
      </c>
      <c r="H26" s="13">
        <v>200</v>
      </c>
      <c r="I26" s="11" t="str">
        <f>IF(G26&gt;=D26,"REPOR","")</f>
        <v/>
      </c>
    </row>
    <row r="27" spans="1:9" hidden="1" x14ac:dyDescent="0.25">
      <c r="A27" s="1">
        <v>2</v>
      </c>
      <c r="B27" s="1" t="s">
        <v>142</v>
      </c>
      <c r="C27" s="1" t="s">
        <v>138</v>
      </c>
      <c r="D27" s="11">
        <f>E27-F27</f>
        <v>0</v>
      </c>
      <c r="E27" s="11">
        <f>SUMIF(Entrada!C:C,Produtos!#REF!,Entrada!E:E)</f>
        <v>0</v>
      </c>
      <c r="F27" s="11">
        <f>SUMIF(Saída!D:D,Produtos!#REF!,Saída!F:F)</f>
        <v>0</v>
      </c>
      <c r="G27" s="13">
        <v>10000</v>
      </c>
      <c r="H27" s="13">
        <v>20000</v>
      </c>
      <c r="I27" s="11" t="str">
        <f>IF(G27&gt;=D27,"REPOR","")</f>
        <v>REPOR</v>
      </c>
    </row>
    <row r="28" spans="1:9" x14ac:dyDescent="0.25">
      <c r="A28" s="1">
        <v>15</v>
      </c>
      <c r="B28" s="1" t="s">
        <v>162</v>
      </c>
      <c r="C28" s="1" t="s">
        <v>126</v>
      </c>
      <c r="D28" s="11">
        <f>E28-F28</f>
        <v>18544</v>
      </c>
      <c r="E28" s="11">
        <f>SUMIF(Entrada!C:C,Produtos!B17,Entrada!E:E)</f>
        <v>18929</v>
      </c>
      <c r="F28" s="11">
        <f>SUMIF(Saída!D:D,Produtos!B17,Saída!F:F)</f>
        <v>385</v>
      </c>
      <c r="G28" s="13">
        <v>100000</v>
      </c>
      <c r="H28" s="13">
        <v>20000</v>
      </c>
      <c r="I28" s="11" t="str">
        <f>IF(G28&gt;=D28,"REPOR","")</f>
        <v>REPOR</v>
      </c>
    </row>
    <row r="29" spans="1:9" x14ac:dyDescent="0.25">
      <c r="A29" s="1">
        <v>8</v>
      </c>
      <c r="B29" s="1" t="s">
        <v>156</v>
      </c>
      <c r="C29" s="1" t="s">
        <v>136</v>
      </c>
      <c r="D29" s="11">
        <f>E29-F29</f>
        <v>18584</v>
      </c>
      <c r="E29" s="11">
        <f>SUMIF(Entrada!C:C,Produtos!B24,Entrada!E:E)</f>
        <v>18929</v>
      </c>
      <c r="F29" s="11">
        <f>SUMIF(Saída!D:D,Produtos!B24,Saída!F:F)</f>
        <v>345</v>
      </c>
      <c r="G29" s="13">
        <v>100000</v>
      </c>
      <c r="H29" s="13">
        <v>20000</v>
      </c>
      <c r="I29" s="11" t="str">
        <f>IF(G29&gt;=D29,"REPOR","")</f>
        <v>REPOR</v>
      </c>
    </row>
    <row r="30" spans="1:9" hidden="1" x14ac:dyDescent="0.25">
      <c r="A30" s="1">
        <v>3</v>
      </c>
      <c r="B30" s="1" t="s">
        <v>679</v>
      </c>
      <c r="C30" s="1" t="s">
        <v>126</v>
      </c>
      <c r="D30" s="11">
        <f>E30-F30</f>
        <v>62709</v>
      </c>
      <c r="E30" s="11">
        <f>SUMIF(Entrada!C:C,Produtos!B29,Entrada!E:E)</f>
        <v>63252</v>
      </c>
      <c r="F30" s="11">
        <f>SUMIF(Saída!D:D,Produtos!B29,Saída!F:F)</f>
        <v>543</v>
      </c>
      <c r="G30" s="13">
        <v>10000</v>
      </c>
      <c r="H30" s="13">
        <v>200</v>
      </c>
      <c r="I30" s="11" t="str">
        <f>IF(G30&gt;=D30,"REPOR","")</f>
        <v/>
      </c>
    </row>
    <row r="31" spans="1:9" x14ac:dyDescent="0.25">
      <c r="A31" s="1">
        <v>18</v>
      </c>
      <c r="B31" s="1" t="s">
        <v>165</v>
      </c>
      <c r="C31" s="1" t="s">
        <v>126</v>
      </c>
      <c r="D31" s="11">
        <f>E31-F31</f>
        <v>68660</v>
      </c>
      <c r="E31" s="11">
        <f>SUMIF(Entrada!C:C,Produtos!B15,Entrada!E:E)</f>
        <v>69099</v>
      </c>
      <c r="F31" s="11">
        <f>SUMIF(Saída!D:D,Produtos!B15,Saída!F:F)</f>
        <v>439</v>
      </c>
      <c r="G31" s="13">
        <v>100000</v>
      </c>
      <c r="H31" s="13">
        <v>20000</v>
      </c>
      <c r="I31" s="11" t="str">
        <f>IF(G31&gt;=D31,"REPOR","")</f>
        <v>REPOR</v>
      </c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25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25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25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25">
      <c r="A43" s="1"/>
      <c r="B43" s="1"/>
      <c r="C43" s="1"/>
      <c r="D43" s="1"/>
      <c r="E43" s="1"/>
      <c r="F43" s="1"/>
      <c r="G43" s="1"/>
      <c r="H43" s="1"/>
      <c r="I43" s="1"/>
    </row>
    <row r="44" spans="1:9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/>
      <c r="B45" s="1"/>
      <c r="C45" s="1"/>
      <c r="D45" s="1"/>
      <c r="E45" s="1"/>
      <c r="F45" s="1"/>
      <c r="G45" s="1"/>
      <c r="H45" s="1"/>
      <c r="I45" s="1"/>
    </row>
    <row r="46" spans="1:9" x14ac:dyDescent="0.25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25">
      <c r="A47" s="1"/>
      <c r="B47" s="1"/>
      <c r="C47" s="1"/>
      <c r="D47" s="1"/>
      <c r="E47" s="1"/>
      <c r="F47" s="1"/>
      <c r="G47" s="1"/>
      <c r="H47" s="1"/>
      <c r="I47" s="1"/>
    </row>
    <row r="48" spans="1:9" x14ac:dyDescent="0.25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  <row r="57" spans="1:9" x14ac:dyDescent="0.25">
      <c r="A57" s="1"/>
      <c r="B57" s="1"/>
      <c r="C57" s="1"/>
      <c r="D57" s="1"/>
      <c r="E57" s="1"/>
      <c r="F57" s="1"/>
      <c r="G57" s="1"/>
      <c r="H57" s="1"/>
      <c r="I57" s="1"/>
    </row>
    <row r="58" spans="1:9" x14ac:dyDescent="0.25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25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25">
      <c r="A65" s="7"/>
      <c r="B65" s="7"/>
      <c r="C65" s="7"/>
      <c r="D65" s="7"/>
      <c r="E65" s="7"/>
      <c r="F65" s="1"/>
      <c r="G65" s="1"/>
      <c r="H65" s="1"/>
      <c r="I65" s="1"/>
    </row>
    <row r="66" spans="1:9" x14ac:dyDescent="0.25">
      <c r="A66" s="7"/>
      <c r="B66" s="7"/>
      <c r="C66" s="7"/>
      <c r="D66" s="7"/>
      <c r="E66" s="7"/>
      <c r="F66" s="1"/>
      <c r="G66" s="1"/>
      <c r="H66" s="1"/>
      <c r="I66" s="1"/>
    </row>
    <row r="67" spans="1:9" x14ac:dyDescent="0.25">
      <c r="A67" s="7"/>
      <c r="B67" s="7"/>
      <c r="C67" s="7"/>
      <c r="D67" s="7"/>
      <c r="E67" s="7"/>
      <c r="F67" s="1"/>
      <c r="G67" s="1"/>
      <c r="H67" s="1"/>
      <c r="I67" s="1"/>
    </row>
    <row r="68" spans="1:9" x14ac:dyDescent="0.25">
      <c r="A68" s="7"/>
      <c r="B68" s="7"/>
      <c r="C68" s="7"/>
      <c r="D68" s="7"/>
      <c r="E68" s="7"/>
      <c r="F68" s="1"/>
      <c r="G68" s="1"/>
      <c r="H68" s="1"/>
      <c r="I68" s="1"/>
    </row>
    <row r="69" spans="1:9" x14ac:dyDescent="0.25">
      <c r="A69" s="7"/>
      <c r="B69" s="7"/>
      <c r="C69" s="7"/>
      <c r="D69" s="7"/>
      <c r="E69" s="7"/>
      <c r="F69" s="1"/>
      <c r="G69" s="1"/>
      <c r="H69" s="1"/>
      <c r="I69" s="1"/>
    </row>
    <row r="70" spans="1:9" x14ac:dyDescent="0.25">
      <c r="A70" s="7"/>
      <c r="B70" s="7"/>
      <c r="C70" s="7"/>
      <c r="D70" s="7"/>
      <c r="E70" s="7"/>
      <c r="F70" s="1"/>
      <c r="G70" s="1"/>
      <c r="H70" s="1"/>
      <c r="I70" s="1"/>
    </row>
    <row r="71" spans="1:9" x14ac:dyDescent="0.25">
      <c r="A71" s="7"/>
      <c r="B71" s="7"/>
      <c r="C71" s="7"/>
      <c r="D71" s="7"/>
      <c r="E71" s="7"/>
      <c r="F71" s="1"/>
      <c r="G71" s="1"/>
      <c r="H71" s="1"/>
      <c r="I71" s="1"/>
    </row>
    <row r="72" spans="1:9" x14ac:dyDescent="0.25">
      <c r="A72" s="7"/>
      <c r="B72" s="7"/>
      <c r="C72" s="7"/>
      <c r="D72" s="7"/>
      <c r="E72" s="7"/>
      <c r="F72" s="1"/>
      <c r="G72" s="1"/>
      <c r="H72" s="1"/>
      <c r="I72" s="1"/>
    </row>
    <row r="73" spans="1:9" x14ac:dyDescent="0.25">
      <c r="A73" s="7"/>
      <c r="B73" s="7"/>
      <c r="C73" s="7"/>
      <c r="D73" s="7"/>
      <c r="E73" s="7"/>
      <c r="F73" s="1"/>
      <c r="G73" s="1"/>
      <c r="H73" s="1"/>
      <c r="I73" s="1"/>
    </row>
    <row r="74" spans="1:9" x14ac:dyDescent="0.25">
      <c r="A74" s="7"/>
      <c r="B74" s="7"/>
      <c r="C74" s="7"/>
      <c r="D74" s="7"/>
      <c r="E74" s="7"/>
      <c r="F74" s="1"/>
      <c r="G74" s="1"/>
      <c r="H74" s="1"/>
      <c r="I74" s="1"/>
    </row>
    <row r="75" spans="1:9" x14ac:dyDescent="0.25">
      <c r="A75" s="7"/>
      <c r="B75" s="7"/>
      <c r="C75" s="7"/>
      <c r="D75" s="7"/>
      <c r="E75" s="7"/>
      <c r="F75" s="1"/>
      <c r="G75" s="1"/>
      <c r="H75" s="1"/>
      <c r="I75" s="1"/>
    </row>
    <row r="76" spans="1:9" x14ac:dyDescent="0.25">
      <c r="A76" s="7"/>
      <c r="B76" s="7"/>
      <c r="C76" s="7"/>
      <c r="D76" s="7"/>
      <c r="E76" s="7"/>
      <c r="F76" s="1"/>
      <c r="G76" s="1"/>
      <c r="H76" s="1"/>
      <c r="I76" s="1"/>
    </row>
    <row r="77" spans="1:9" x14ac:dyDescent="0.25">
      <c r="A77" s="1"/>
      <c r="B77" s="1"/>
      <c r="C77" s="1"/>
      <c r="D77" s="1"/>
      <c r="E77" s="1"/>
      <c r="F77" s="1"/>
      <c r="G77" s="1"/>
      <c r="H77" s="1"/>
      <c r="I77" s="1"/>
    </row>
    <row r="78" spans="1:9" x14ac:dyDescent="0.25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25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25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25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25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25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25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25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25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25">
      <c r="A87" s="1"/>
      <c r="B87" s="1"/>
      <c r="C87" s="1"/>
      <c r="D87" s="1"/>
      <c r="E87" s="1"/>
      <c r="F87" s="1"/>
      <c r="G87" s="1"/>
      <c r="H87" s="1"/>
      <c r="I87" s="1"/>
    </row>
    <row r="88" spans="1:9" x14ac:dyDescent="0.25">
      <c r="A88" s="1"/>
      <c r="B88" s="1"/>
      <c r="C88" s="1"/>
      <c r="D88" s="1"/>
      <c r="E88" s="1"/>
      <c r="F88" s="1"/>
      <c r="G88" s="1"/>
      <c r="H88" s="1"/>
      <c r="I88" s="1"/>
    </row>
    <row r="89" spans="1:9" x14ac:dyDescent="0.25">
      <c r="A89" s="1"/>
      <c r="B89" s="1"/>
      <c r="C89" s="1"/>
      <c r="D89" s="1"/>
      <c r="E89" s="1"/>
      <c r="F89" s="1"/>
      <c r="G89" s="1"/>
      <c r="H89" s="1"/>
      <c r="I89" s="1"/>
    </row>
    <row r="90" spans="1:9" x14ac:dyDescent="0.25">
      <c r="A90" s="1"/>
      <c r="B90" s="1"/>
      <c r="C90" s="1"/>
      <c r="D90" s="1"/>
      <c r="E90" s="1"/>
      <c r="F90" s="1"/>
      <c r="G90" s="1"/>
      <c r="H90" s="1"/>
      <c r="I90" s="1"/>
    </row>
    <row r="91" spans="1:9" x14ac:dyDescent="0.25">
      <c r="A91" s="1"/>
      <c r="B91" s="1"/>
      <c r="C91" s="1"/>
      <c r="D91" s="1"/>
      <c r="E91" s="1"/>
      <c r="F91" s="1"/>
      <c r="G91" s="1"/>
      <c r="H91" s="1"/>
      <c r="I91" s="1"/>
    </row>
    <row r="92" spans="1:9" x14ac:dyDescent="0.25">
      <c r="A92" s="1"/>
      <c r="B92" s="1"/>
      <c r="C92" s="1"/>
      <c r="D92" s="1"/>
      <c r="E92" s="1"/>
      <c r="F92" s="1"/>
      <c r="G92" s="1"/>
      <c r="H92" s="1"/>
      <c r="I92" s="1"/>
    </row>
    <row r="93" spans="1:9" x14ac:dyDescent="0.25">
      <c r="A93" s="1"/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1"/>
      <c r="B94" s="1"/>
      <c r="C94" s="1"/>
      <c r="D94" s="1"/>
      <c r="E94" s="1"/>
      <c r="F94" s="1"/>
      <c r="G94" s="1"/>
      <c r="H94" s="1"/>
      <c r="I94" s="1"/>
    </row>
    <row r="95" spans="1:9" x14ac:dyDescent="0.25">
      <c r="A95" s="1"/>
      <c r="B95" s="1"/>
      <c r="C95" s="1"/>
      <c r="D95" s="1"/>
      <c r="E95" s="1"/>
      <c r="F95" s="1"/>
      <c r="G95" s="1"/>
      <c r="H95" s="1"/>
      <c r="I95" s="1"/>
    </row>
    <row r="96" spans="1:9" x14ac:dyDescent="0.25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25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25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25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25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25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25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25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25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25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2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2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2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25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25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25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25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25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25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1"/>
      <c r="B120" s="1"/>
      <c r="C120" s="1"/>
      <c r="D120" s="1"/>
      <c r="E120" s="1"/>
      <c r="F120" s="1"/>
      <c r="G120" s="1"/>
      <c r="H120" s="1"/>
      <c r="I120" s="1"/>
    </row>
    <row r="121" spans="1:9" x14ac:dyDescent="0.25">
      <c r="A121" s="1"/>
      <c r="B121" s="1"/>
      <c r="C121" s="1"/>
      <c r="D121" s="1"/>
      <c r="E121" s="1"/>
      <c r="F121" s="1"/>
      <c r="G121" s="1"/>
      <c r="H121" s="1"/>
      <c r="I121" s="1"/>
    </row>
    <row r="122" spans="1:9" x14ac:dyDescent="0.25">
      <c r="A122" s="1"/>
      <c r="B122" s="1"/>
      <c r="C122" s="1"/>
      <c r="D122" s="1"/>
      <c r="E122" s="1"/>
      <c r="F122" s="1"/>
      <c r="G122" s="1"/>
      <c r="H122" s="1"/>
      <c r="I122" s="1"/>
    </row>
    <row r="123" spans="1:9" x14ac:dyDescent="0.25">
      <c r="A123" s="1"/>
      <c r="B123" s="1"/>
      <c r="C123" s="1"/>
      <c r="D123" s="1"/>
      <c r="E123" s="1"/>
      <c r="F123" s="1"/>
      <c r="G123" s="1"/>
      <c r="H123" s="1"/>
      <c r="I123" s="1"/>
    </row>
    <row r="124" spans="1:9" x14ac:dyDescent="0.25">
      <c r="A124" s="1"/>
      <c r="B124" s="1"/>
      <c r="C124" s="1"/>
      <c r="D124" s="1"/>
      <c r="E124" s="1"/>
      <c r="F124" s="1"/>
      <c r="G124" s="1"/>
      <c r="H124" s="1"/>
      <c r="I124" s="1"/>
    </row>
    <row r="125" spans="1:9" x14ac:dyDescent="0.25">
      <c r="A125" s="1"/>
      <c r="B125" s="1"/>
      <c r="C125" s="1"/>
      <c r="D125" s="1"/>
      <c r="E125" s="1"/>
      <c r="F125" s="1"/>
      <c r="G125" s="1"/>
      <c r="H125" s="1"/>
      <c r="I125" s="1"/>
    </row>
    <row r="126" spans="1:9" x14ac:dyDescent="0.25">
      <c r="A126" s="1"/>
      <c r="B126" s="1"/>
      <c r="C126" s="1"/>
      <c r="D126" s="1"/>
      <c r="E126" s="1"/>
      <c r="F126" s="1"/>
      <c r="G126" s="1"/>
      <c r="H126" s="1"/>
      <c r="I126" s="1"/>
    </row>
    <row r="127" spans="1:9" x14ac:dyDescent="0.25">
      <c r="A127" s="1"/>
      <c r="B127" s="1"/>
      <c r="C127" s="1"/>
      <c r="D127" s="1"/>
      <c r="E127" s="1"/>
      <c r="F127" s="1"/>
      <c r="G127" s="1"/>
      <c r="H127" s="1"/>
      <c r="I127" s="1"/>
    </row>
    <row r="128" spans="1:9" x14ac:dyDescent="0.25">
      <c r="A128" s="1"/>
      <c r="B128" s="1"/>
      <c r="C128" s="1"/>
      <c r="D128" s="1"/>
      <c r="E128" s="1"/>
      <c r="F128" s="1"/>
      <c r="G128" s="1"/>
      <c r="H128" s="1"/>
      <c r="I128" s="1"/>
    </row>
    <row r="129" spans="1:9" x14ac:dyDescent="0.25">
      <c r="A129" s="1"/>
      <c r="B129" s="1"/>
      <c r="C129" s="1"/>
      <c r="D129" s="1"/>
      <c r="E129" s="1"/>
      <c r="F129" s="1"/>
      <c r="G129" s="1"/>
      <c r="H129" s="1"/>
      <c r="I129" s="1"/>
    </row>
    <row r="130" spans="1:9" x14ac:dyDescent="0.25">
      <c r="A130" s="1"/>
      <c r="B130" s="1"/>
      <c r="C130" s="1"/>
      <c r="D130" s="1"/>
      <c r="E130" s="1"/>
      <c r="F130" s="1"/>
      <c r="G130" s="1"/>
      <c r="H130" s="1"/>
      <c r="I130" s="1"/>
    </row>
    <row r="131" spans="1:9" x14ac:dyDescent="0.25">
      <c r="A131" s="1"/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1"/>
      <c r="B132" s="1"/>
      <c r="C132" s="1"/>
      <c r="D132" s="1"/>
      <c r="E132" s="1"/>
      <c r="F132" s="1"/>
      <c r="G132" s="1"/>
      <c r="H132" s="1"/>
      <c r="I132" s="1"/>
    </row>
    <row r="133" spans="1:9" x14ac:dyDescent="0.25">
      <c r="A133" s="1"/>
      <c r="B133" s="1"/>
      <c r="C133" s="1"/>
      <c r="D133" s="1"/>
      <c r="E133" s="1"/>
      <c r="F133" s="1"/>
      <c r="G133" s="1"/>
      <c r="H133" s="1"/>
      <c r="I133" s="1"/>
    </row>
    <row r="134" spans="1:9" x14ac:dyDescent="0.25">
      <c r="A134" s="1"/>
      <c r="B134" s="1"/>
      <c r="C134" s="1"/>
      <c r="D134" s="1"/>
      <c r="E134" s="1"/>
      <c r="F134" s="1"/>
      <c r="G134" s="1"/>
      <c r="H134" s="1"/>
      <c r="I134" s="1"/>
    </row>
    <row r="135" spans="1:9" x14ac:dyDescent="0.25">
      <c r="A135" s="1"/>
      <c r="B135" s="1"/>
      <c r="C135" s="1"/>
      <c r="D135" s="1"/>
      <c r="E135" s="1"/>
      <c r="F135" s="1"/>
      <c r="G135" s="1"/>
      <c r="H135" s="1"/>
      <c r="I135" s="1"/>
    </row>
    <row r="136" spans="1:9" x14ac:dyDescent="0.25">
      <c r="A136" s="1"/>
      <c r="B136" s="1"/>
      <c r="C136" s="1"/>
      <c r="D136" s="1"/>
      <c r="E136" s="1"/>
      <c r="F136" s="1"/>
      <c r="G136" s="1"/>
      <c r="H136" s="1"/>
      <c r="I136" s="1"/>
    </row>
    <row r="137" spans="1:9" x14ac:dyDescent="0.25">
      <c r="A137" s="1"/>
      <c r="B137" s="1"/>
      <c r="C137" s="1"/>
      <c r="D137" s="1"/>
      <c r="E137" s="1"/>
      <c r="F137" s="1"/>
      <c r="G137" s="1"/>
      <c r="H137" s="1"/>
      <c r="I137" s="1"/>
    </row>
    <row r="138" spans="1:9" x14ac:dyDescent="0.25">
      <c r="A138" s="1"/>
      <c r="B138" s="1"/>
      <c r="C138" s="1"/>
      <c r="D138" s="1"/>
      <c r="E138" s="1"/>
      <c r="F138" s="1"/>
      <c r="G138" s="1"/>
      <c r="H138" s="1"/>
      <c r="I138" s="1"/>
    </row>
    <row r="139" spans="1:9" x14ac:dyDescent="0.25">
      <c r="A139" s="1"/>
      <c r="B139" s="1"/>
      <c r="C139" s="1"/>
      <c r="D139" s="1"/>
      <c r="E139" s="1"/>
      <c r="F139" s="1"/>
      <c r="G139" s="1"/>
      <c r="H139" s="1"/>
      <c r="I139" s="1"/>
    </row>
    <row r="140" spans="1:9" x14ac:dyDescent="0.25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1"/>
      <c r="B141" s="1"/>
      <c r="C141" s="1"/>
      <c r="D141" s="1"/>
      <c r="E141" s="1"/>
      <c r="F141" s="1"/>
      <c r="G141" s="1"/>
      <c r="H141" s="1"/>
      <c r="I141" s="1"/>
    </row>
    <row r="142" spans="1:9" x14ac:dyDescent="0.25">
      <c r="A142" s="1"/>
      <c r="B142" s="1"/>
      <c r="C142" s="1"/>
      <c r="D142" s="1"/>
      <c r="E142" s="1"/>
      <c r="F142" s="1"/>
      <c r="G142" s="1"/>
      <c r="H142" s="1"/>
      <c r="I142" s="1"/>
    </row>
    <row r="143" spans="1:9" x14ac:dyDescent="0.25">
      <c r="A143" s="1"/>
      <c r="B143" s="1"/>
      <c r="C143" s="1"/>
      <c r="D143" s="1"/>
      <c r="E143" s="1"/>
      <c r="F143" s="1"/>
      <c r="G143" s="1"/>
      <c r="H143" s="1"/>
      <c r="I143" s="1"/>
    </row>
    <row r="144" spans="1:9" x14ac:dyDescent="0.25">
      <c r="A144" s="1"/>
      <c r="B144" s="1"/>
      <c r="C144" s="1"/>
      <c r="D144" s="1"/>
      <c r="E144" s="1"/>
      <c r="F144" s="1"/>
      <c r="G144" s="1"/>
      <c r="H144" s="1"/>
      <c r="I144" s="1"/>
    </row>
    <row r="145" spans="1:9" x14ac:dyDescent="0.25">
      <c r="A145" s="1"/>
      <c r="B145" s="1"/>
      <c r="C145" s="1"/>
      <c r="D145" s="1"/>
      <c r="E145" s="1"/>
      <c r="F145" s="1"/>
      <c r="G145" s="1"/>
      <c r="H145" s="1"/>
      <c r="I145" s="1"/>
    </row>
    <row r="146" spans="1:9" x14ac:dyDescent="0.25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"/>
      <c r="B147" s="1"/>
      <c r="C147" s="1"/>
      <c r="D147" s="1"/>
      <c r="E147" s="1"/>
      <c r="F147" s="1"/>
      <c r="G147" s="1"/>
      <c r="H147" s="1"/>
      <c r="I147" s="1"/>
    </row>
    <row r="148" spans="1:9" x14ac:dyDescent="0.25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"/>
      <c r="B149" s="1"/>
      <c r="C149" s="1"/>
      <c r="D149" s="1"/>
      <c r="E149" s="1"/>
      <c r="F149" s="1"/>
      <c r="G149" s="1"/>
      <c r="H149" s="1"/>
      <c r="I149" s="1"/>
    </row>
    <row r="150" spans="1:9" x14ac:dyDescent="0.25">
      <c r="A150" s="1"/>
      <c r="B150" s="1"/>
      <c r="C150" s="1"/>
      <c r="D150" s="1"/>
      <c r="E150" s="1"/>
      <c r="F150" s="1"/>
      <c r="G150" s="1"/>
      <c r="H150" s="1"/>
      <c r="I150" s="1"/>
    </row>
    <row r="151" spans="1:9" x14ac:dyDescent="0.25">
      <c r="A151" s="1"/>
      <c r="B151" s="1"/>
      <c r="C151" s="1"/>
      <c r="D151" s="1"/>
      <c r="E151" s="1"/>
      <c r="F151" s="1"/>
      <c r="G151" s="1"/>
      <c r="H151" s="1"/>
      <c r="I151" s="1"/>
    </row>
    <row r="152" spans="1:9" x14ac:dyDescent="0.25">
      <c r="A152" s="1"/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"/>
      <c r="B153" s="1"/>
      <c r="C153" s="1"/>
      <c r="D153" s="1"/>
      <c r="E153" s="1"/>
      <c r="F153" s="1"/>
      <c r="G153" s="1"/>
      <c r="H153" s="1"/>
      <c r="I153" s="1"/>
    </row>
    <row r="154" spans="1:9" x14ac:dyDescent="0.25">
      <c r="A154" s="1"/>
      <c r="B154" s="1"/>
      <c r="C154" s="1"/>
      <c r="D154" s="1"/>
      <c r="E154" s="1"/>
      <c r="F154" s="1"/>
      <c r="G154" s="1"/>
      <c r="H154" s="1"/>
      <c r="I154" s="1"/>
    </row>
    <row r="155" spans="1:9" x14ac:dyDescent="0.25">
      <c r="A155" s="1"/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1"/>
      <c r="B156" s="1"/>
      <c r="C156" s="1"/>
      <c r="D156" s="1"/>
      <c r="E156" s="1"/>
      <c r="F156" s="1"/>
      <c r="G156" s="1"/>
      <c r="H156" s="1"/>
      <c r="I156" s="1"/>
    </row>
    <row r="157" spans="1:9" x14ac:dyDescent="0.25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1"/>
      <c r="B158" s="1"/>
      <c r="C158" s="1"/>
      <c r="D158" s="1"/>
      <c r="E158" s="1"/>
      <c r="F158" s="1"/>
      <c r="G158" s="1"/>
      <c r="H158" s="1"/>
      <c r="I158" s="1"/>
    </row>
    <row r="159" spans="1:9" x14ac:dyDescent="0.25">
      <c r="A159" s="1"/>
      <c r="B159" s="1"/>
      <c r="C159" s="1"/>
      <c r="D159" s="1"/>
      <c r="E159" s="1"/>
      <c r="F159" s="1"/>
      <c r="G159" s="1"/>
      <c r="H159" s="1"/>
      <c r="I159" s="1"/>
    </row>
    <row r="160" spans="1:9" x14ac:dyDescent="0.25">
      <c r="A160" s="1"/>
      <c r="B160" s="1"/>
      <c r="C160" s="1"/>
      <c r="D160" s="1"/>
      <c r="E160" s="1"/>
      <c r="F160" s="1"/>
      <c r="G160" s="1"/>
      <c r="H160" s="1"/>
      <c r="I160" s="1"/>
    </row>
    <row r="161" spans="1:9" x14ac:dyDescent="0.25">
      <c r="A161" s="1"/>
      <c r="B161" s="1"/>
      <c r="C161" s="1"/>
      <c r="D161" s="1"/>
      <c r="E161" s="1"/>
      <c r="F161" s="1"/>
      <c r="G161" s="1"/>
      <c r="H161" s="1"/>
      <c r="I161" s="1"/>
    </row>
    <row r="162" spans="1:9" x14ac:dyDescent="0.25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1"/>
      <c r="B163" s="1"/>
      <c r="C163" s="1"/>
      <c r="D163" s="1"/>
      <c r="E163" s="1"/>
      <c r="F163" s="1"/>
      <c r="G163" s="1"/>
      <c r="H163" s="1"/>
      <c r="I163" s="1"/>
    </row>
    <row r="164" spans="1:9" x14ac:dyDescent="0.25">
      <c r="A164" s="1"/>
      <c r="B164" s="1"/>
      <c r="C164" s="1"/>
      <c r="D164" s="1"/>
      <c r="E164" s="1"/>
      <c r="F164" s="1"/>
      <c r="G164" s="1"/>
      <c r="H164" s="1"/>
      <c r="I164" s="1"/>
    </row>
    <row r="165" spans="1:9" x14ac:dyDescent="0.25">
      <c r="A165" s="1"/>
      <c r="B165" s="1"/>
      <c r="C165" s="1"/>
      <c r="D165" s="1"/>
      <c r="E165" s="1"/>
      <c r="F165" s="1"/>
      <c r="G165" s="1"/>
      <c r="H165" s="1"/>
      <c r="I165" s="1"/>
    </row>
    <row r="166" spans="1:9" x14ac:dyDescent="0.25">
      <c r="A166" s="1"/>
      <c r="B166" s="1"/>
      <c r="C166" s="1"/>
      <c r="D166" s="1"/>
      <c r="E166" s="1"/>
      <c r="F166" s="1"/>
      <c r="G166" s="1"/>
      <c r="H166" s="1"/>
      <c r="I166" s="1"/>
    </row>
    <row r="167" spans="1:9" x14ac:dyDescent="0.25">
      <c r="A167" s="1"/>
      <c r="B167" s="1"/>
      <c r="C167" s="1"/>
      <c r="D167" s="1"/>
      <c r="E167" s="1"/>
      <c r="F167" s="1"/>
      <c r="G167" s="1"/>
      <c r="H167" s="1"/>
      <c r="I167" s="1"/>
    </row>
    <row r="168" spans="1:9" x14ac:dyDescent="0.25">
      <c r="A168" s="1"/>
      <c r="B168" s="1"/>
      <c r="C168" s="1"/>
      <c r="D168" s="1"/>
      <c r="E168" s="1"/>
      <c r="F168" s="1"/>
      <c r="G168" s="1"/>
      <c r="H168" s="1"/>
      <c r="I168" s="1"/>
    </row>
    <row r="169" spans="1:9" x14ac:dyDescent="0.25">
      <c r="A169" s="1"/>
      <c r="B169" s="1"/>
      <c r="C169" s="1"/>
      <c r="D169" s="1"/>
      <c r="E169" s="1"/>
      <c r="F169" s="1"/>
      <c r="G169" s="1"/>
      <c r="H169" s="1"/>
      <c r="I169" s="1"/>
    </row>
    <row r="170" spans="1:9" x14ac:dyDescent="0.25">
      <c r="A170" s="1"/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1"/>
      <c r="B171" s="1"/>
      <c r="C171" s="1"/>
      <c r="D171" s="1"/>
      <c r="E171" s="1"/>
      <c r="F171" s="1"/>
      <c r="G171" s="1"/>
      <c r="H171" s="1"/>
      <c r="I171" s="1"/>
    </row>
    <row r="172" spans="1:9" x14ac:dyDescent="0.25">
      <c r="A172" s="1"/>
      <c r="B172" s="1"/>
      <c r="C172" s="1"/>
      <c r="D172" s="1"/>
      <c r="E172" s="1"/>
      <c r="F172" s="1"/>
      <c r="G172" s="1"/>
      <c r="H172" s="1"/>
      <c r="I172" s="1"/>
    </row>
    <row r="173" spans="1:9" x14ac:dyDescent="0.25">
      <c r="A173" s="1"/>
      <c r="B173" s="1"/>
      <c r="C173" s="1"/>
      <c r="D173" s="1"/>
      <c r="E173" s="1"/>
      <c r="F173" s="1"/>
      <c r="G173" s="1"/>
      <c r="H173" s="1"/>
      <c r="I173" s="1"/>
    </row>
    <row r="174" spans="1:9" x14ac:dyDescent="0.25">
      <c r="A174" s="1"/>
      <c r="B174" s="1"/>
      <c r="C174" s="1"/>
      <c r="D174" s="1"/>
      <c r="E174" s="1"/>
      <c r="F174" s="1"/>
      <c r="G174" s="1"/>
      <c r="H174" s="1"/>
      <c r="I174" s="1"/>
    </row>
    <row r="175" spans="1:9" x14ac:dyDescent="0.25">
      <c r="A175" s="1"/>
      <c r="B175" s="1"/>
      <c r="C175" s="1"/>
      <c r="D175" s="1"/>
      <c r="E175" s="1"/>
      <c r="F175" s="1"/>
      <c r="G175" s="1"/>
      <c r="H175" s="1"/>
      <c r="I175" s="1"/>
    </row>
    <row r="176" spans="1:9" x14ac:dyDescent="0.25">
      <c r="A176" s="1"/>
      <c r="B176" s="1"/>
      <c r="C176" s="1"/>
      <c r="D176" s="1"/>
      <c r="E176" s="1"/>
      <c r="F176" s="1"/>
      <c r="G176" s="1"/>
      <c r="H176" s="1"/>
      <c r="I176" s="1"/>
    </row>
    <row r="177" spans="1:9" x14ac:dyDescent="0.25">
      <c r="A177" s="1"/>
      <c r="B177" s="1"/>
      <c r="C177" s="1"/>
      <c r="D177" s="1"/>
      <c r="E177" s="1"/>
      <c r="F177" s="1"/>
      <c r="G177" s="1"/>
      <c r="H177" s="1"/>
      <c r="I177" s="1"/>
    </row>
    <row r="178" spans="1:9" x14ac:dyDescent="0.25">
      <c r="A178" s="1"/>
      <c r="B178" s="1"/>
      <c r="C178" s="1"/>
      <c r="D178" s="1"/>
      <c r="E178" s="1"/>
      <c r="F178" s="1"/>
      <c r="G178" s="1"/>
      <c r="H178" s="1"/>
      <c r="I178" s="1"/>
    </row>
    <row r="179" spans="1:9" x14ac:dyDescent="0.25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1"/>
      <c r="B180" s="1"/>
      <c r="C180" s="1"/>
      <c r="D180" s="1"/>
      <c r="E180" s="1"/>
      <c r="F180" s="1"/>
      <c r="G180" s="1"/>
      <c r="H180" s="1"/>
      <c r="I180" s="1"/>
    </row>
    <row r="181" spans="1:9" x14ac:dyDescent="0.25">
      <c r="A181" s="1"/>
      <c r="B181" s="1"/>
      <c r="C181" s="1"/>
      <c r="D181" s="1"/>
      <c r="E181" s="1"/>
      <c r="F181" s="1"/>
      <c r="G181" s="1"/>
      <c r="H181" s="1"/>
      <c r="I181" s="1"/>
    </row>
    <row r="182" spans="1:9" x14ac:dyDescent="0.25">
      <c r="A182" s="1"/>
      <c r="B182" s="1"/>
      <c r="C182" s="1"/>
      <c r="D182" s="1"/>
      <c r="E182" s="1"/>
      <c r="F182" s="1"/>
      <c r="G182" s="1"/>
      <c r="H182" s="1"/>
      <c r="I182" s="1"/>
    </row>
    <row r="183" spans="1:9" x14ac:dyDescent="0.25">
      <c r="A183" s="1"/>
      <c r="B183" s="1"/>
      <c r="C183" s="1"/>
      <c r="D183" s="1"/>
      <c r="E183" s="1"/>
      <c r="F183" s="1"/>
      <c r="G183" s="1"/>
      <c r="H183" s="1"/>
      <c r="I183" s="1"/>
    </row>
    <row r="184" spans="1:9" x14ac:dyDescent="0.25">
      <c r="A184" s="1"/>
      <c r="B184" s="1"/>
      <c r="C184" s="1"/>
      <c r="D184" s="1"/>
      <c r="E184" s="1"/>
      <c r="F184" s="1"/>
      <c r="G184" s="1"/>
      <c r="H184" s="1"/>
      <c r="I184" s="1"/>
    </row>
    <row r="185" spans="1:9" x14ac:dyDescent="0.25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"/>
      <c r="B186" s="1"/>
      <c r="C186" s="1"/>
      <c r="D186" s="1"/>
      <c r="E186" s="1"/>
      <c r="F186" s="1"/>
      <c r="G186" s="1"/>
      <c r="H186" s="1"/>
      <c r="I186" s="1"/>
    </row>
    <row r="187" spans="1:9" x14ac:dyDescent="0.25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"/>
      <c r="B188" s="1"/>
      <c r="C188" s="1"/>
      <c r="D188" s="1"/>
      <c r="E188" s="1"/>
      <c r="F188" s="1"/>
      <c r="G188" s="1"/>
      <c r="H188" s="1"/>
      <c r="I188" s="1"/>
    </row>
    <row r="189" spans="1:9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9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9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"/>
      <c r="B192" s="1"/>
      <c r="C192" s="1"/>
      <c r="D192" s="1"/>
      <c r="E192" s="1"/>
      <c r="F192" s="1"/>
      <c r="G192" s="1"/>
      <c r="H192" s="1"/>
      <c r="I192" s="1"/>
    </row>
    <row r="193" spans="1:9" x14ac:dyDescent="0.25">
      <c r="A193" s="1"/>
      <c r="B193" s="1"/>
      <c r="C193" s="1"/>
      <c r="D193" s="1"/>
      <c r="E193" s="1"/>
      <c r="F193" s="1"/>
      <c r="G193" s="1"/>
      <c r="H193" s="1"/>
      <c r="I193" s="1"/>
    </row>
    <row r="194" spans="1:9" x14ac:dyDescent="0.25">
      <c r="A194" s="1"/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1"/>
      <c r="B195" s="1"/>
      <c r="C195" s="1"/>
      <c r="D195" s="1"/>
      <c r="E195" s="1"/>
      <c r="F195" s="1"/>
      <c r="G195" s="1"/>
      <c r="H195" s="1"/>
      <c r="I195" s="1"/>
    </row>
    <row r="196" spans="1:9" x14ac:dyDescent="0.25">
      <c r="A196" s="1"/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1"/>
      <c r="B197" s="1"/>
      <c r="C197" s="1"/>
      <c r="D197" s="1"/>
      <c r="E197" s="1"/>
      <c r="F197" s="1"/>
      <c r="G197" s="1"/>
      <c r="H197" s="1"/>
      <c r="I197" s="1"/>
    </row>
    <row r="198" spans="1:9" x14ac:dyDescent="0.25">
      <c r="A198" s="1"/>
      <c r="B198" s="1"/>
      <c r="C198" s="1"/>
      <c r="D198" s="1"/>
      <c r="E198" s="1"/>
      <c r="F198" s="1"/>
      <c r="G198" s="1"/>
      <c r="H198" s="1"/>
      <c r="I198" s="1"/>
    </row>
    <row r="199" spans="1:9" x14ac:dyDescent="0.25">
      <c r="A199" s="1"/>
      <c r="B199" s="1"/>
      <c r="C199" s="1"/>
      <c r="D199" s="1"/>
      <c r="E199" s="1"/>
      <c r="F199" s="1"/>
      <c r="G199" s="1"/>
      <c r="H199" s="1"/>
      <c r="I199" s="1"/>
    </row>
    <row r="200" spans="1:9" x14ac:dyDescent="0.25">
      <c r="A200" s="1"/>
      <c r="B200" s="1"/>
      <c r="C200" s="1"/>
      <c r="D200" s="1"/>
      <c r="E200" s="1"/>
      <c r="F200" s="1"/>
      <c r="G200" s="1"/>
      <c r="H200" s="1"/>
      <c r="I200" s="1"/>
    </row>
    <row r="201" spans="1:9" x14ac:dyDescent="0.25">
      <c r="A201" s="1"/>
      <c r="B201" s="1"/>
      <c r="C201" s="1"/>
      <c r="D201" s="1"/>
      <c r="E201" s="1"/>
      <c r="F201" s="1"/>
      <c r="G201" s="1"/>
      <c r="H201" s="1"/>
      <c r="I201" s="1"/>
    </row>
    <row r="202" spans="1:9" x14ac:dyDescent="0.25">
      <c r="A202" s="1"/>
      <c r="B202" s="1"/>
      <c r="C202" s="1"/>
      <c r="D202" s="1"/>
      <c r="E202" s="1"/>
      <c r="F202" s="1"/>
      <c r="G202" s="1"/>
      <c r="H202" s="1"/>
      <c r="I202" s="1"/>
    </row>
    <row r="203" spans="1:9" x14ac:dyDescent="0.25">
      <c r="A203" s="1"/>
      <c r="B203" s="1"/>
      <c r="C203" s="1"/>
      <c r="D203" s="1"/>
      <c r="E203" s="1"/>
      <c r="F203" s="1"/>
      <c r="G203" s="1"/>
      <c r="H203" s="1"/>
      <c r="I203" s="1"/>
    </row>
    <row r="204" spans="1:9" x14ac:dyDescent="0.25">
      <c r="A204" s="1"/>
      <c r="B204" s="1"/>
      <c r="C204" s="1"/>
      <c r="D204" s="1"/>
      <c r="E204" s="1"/>
      <c r="F204" s="1"/>
      <c r="G204" s="1"/>
      <c r="H204" s="1"/>
      <c r="I204" s="1"/>
    </row>
    <row r="205" spans="1:9" x14ac:dyDescent="0.25">
      <c r="A205" s="1"/>
      <c r="B205" s="1"/>
      <c r="C205" s="1"/>
      <c r="D205" s="1"/>
      <c r="E205" s="1"/>
      <c r="F205" s="1"/>
      <c r="G205" s="1"/>
      <c r="H205" s="1"/>
      <c r="I205" s="1"/>
    </row>
    <row r="206" spans="1:9" x14ac:dyDescent="0.25">
      <c r="A206" s="1"/>
      <c r="B206" s="1"/>
      <c r="C206" s="1"/>
      <c r="D206" s="1"/>
      <c r="E206" s="1"/>
      <c r="F206" s="1"/>
      <c r="G206" s="1"/>
      <c r="H206" s="1"/>
      <c r="I206" s="1"/>
    </row>
    <row r="207" spans="1:9" x14ac:dyDescent="0.25">
      <c r="A207" s="1"/>
      <c r="B207" s="1"/>
      <c r="C207" s="1"/>
      <c r="D207" s="1"/>
      <c r="E207" s="1"/>
      <c r="F207" s="1"/>
      <c r="G207" s="1"/>
      <c r="H207" s="1"/>
      <c r="I207" s="1"/>
    </row>
    <row r="208" spans="1:9" x14ac:dyDescent="0.25">
      <c r="A208" s="1"/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1"/>
      <c r="B209" s="1"/>
      <c r="C209" s="1"/>
      <c r="D209" s="1"/>
      <c r="E209" s="1"/>
      <c r="F209" s="1"/>
      <c r="G209" s="1"/>
      <c r="H209" s="1"/>
      <c r="I209" s="1"/>
    </row>
    <row r="210" spans="1:9" x14ac:dyDescent="0.25">
      <c r="A210" s="1"/>
      <c r="B210" s="1"/>
      <c r="C210" s="1"/>
      <c r="D210" s="1"/>
      <c r="E210" s="1"/>
      <c r="F210" s="1"/>
      <c r="G210" s="1"/>
      <c r="H210" s="1"/>
      <c r="I210" s="1"/>
    </row>
    <row r="211" spans="1:9" x14ac:dyDescent="0.25">
      <c r="A211" s="1"/>
      <c r="B211" s="1"/>
      <c r="C211" s="1"/>
      <c r="D211" s="1"/>
      <c r="E211" s="1"/>
      <c r="F211" s="1"/>
      <c r="G211" s="1"/>
      <c r="H211" s="1"/>
      <c r="I211" s="1"/>
    </row>
    <row r="212" spans="1:9" x14ac:dyDescent="0.25">
      <c r="A212" s="1"/>
      <c r="B212" s="1"/>
      <c r="C212" s="1"/>
      <c r="D212" s="1"/>
      <c r="E212" s="1"/>
      <c r="F212" s="1"/>
      <c r="G212" s="1"/>
      <c r="H212" s="1"/>
      <c r="I212" s="1"/>
    </row>
    <row r="213" spans="1:9" x14ac:dyDescent="0.25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25">
      <c r="A214" s="1"/>
      <c r="B214" s="1"/>
      <c r="C214" s="1"/>
      <c r="D214" s="1"/>
      <c r="E214" s="1"/>
      <c r="F214" s="1"/>
      <c r="G214" s="1"/>
      <c r="H214" s="1"/>
      <c r="I214" s="1"/>
    </row>
    <row r="215" spans="1:9" x14ac:dyDescent="0.25">
      <c r="A215" s="1"/>
      <c r="B215" s="1"/>
      <c r="C215" s="1"/>
      <c r="D215" s="1"/>
      <c r="E215" s="1"/>
      <c r="F215" s="1"/>
      <c r="G215" s="1"/>
      <c r="H215" s="1"/>
      <c r="I215" s="1"/>
    </row>
    <row r="216" spans="1:9" x14ac:dyDescent="0.25">
      <c r="A216" s="1"/>
      <c r="B216" s="1"/>
      <c r="C216" s="1"/>
      <c r="D216" s="1"/>
      <c r="E216" s="1"/>
      <c r="F216" s="1"/>
      <c r="G216" s="1"/>
      <c r="H216" s="1"/>
      <c r="I216" s="1"/>
    </row>
    <row r="217" spans="1:9" x14ac:dyDescent="0.25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1"/>
      <c r="B218" s="1"/>
      <c r="C218" s="1"/>
      <c r="D218" s="1"/>
      <c r="E218" s="1"/>
      <c r="F218" s="1"/>
      <c r="G218" s="1"/>
      <c r="H218" s="1"/>
      <c r="I218" s="1"/>
    </row>
    <row r="219" spans="1:9" x14ac:dyDescent="0.25">
      <c r="A219" s="1"/>
      <c r="B219" s="1"/>
      <c r="C219" s="1"/>
      <c r="D219" s="1"/>
      <c r="E219" s="1"/>
      <c r="F219" s="1"/>
      <c r="G219" s="1"/>
      <c r="H219" s="1"/>
      <c r="I219" s="1"/>
    </row>
    <row r="220" spans="1:9" x14ac:dyDescent="0.25">
      <c r="A220" s="1"/>
      <c r="B220" s="1"/>
      <c r="C220" s="1"/>
      <c r="D220" s="1"/>
      <c r="E220" s="1"/>
      <c r="F220" s="1"/>
      <c r="G220" s="1"/>
      <c r="H220" s="1"/>
      <c r="I220" s="1"/>
    </row>
    <row r="221" spans="1:9" x14ac:dyDescent="0.25">
      <c r="A221" s="1"/>
      <c r="B221" s="1"/>
      <c r="C221" s="1"/>
      <c r="D221" s="1"/>
      <c r="E221" s="1"/>
      <c r="F221" s="1"/>
      <c r="G221" s="1"/>
      <c r="H221" s="1"/>
      <c r="I221" s="1"/>
    </row>
    <row r="222" spans="1:9" x14ac:dyDescent="0.25">
      <c r="A222" s="1"/>
      <c r="B222" s="1"/>
      <c r="C222" s="1"/>
      <c r="D222" s="1"/>
      <c r="E222" s="1"/>
      <c r="F222" s="1"/>
      <c r="G222" s="1"/>
      <c r="H222" s="1"/>
      <c r="I222" s="1"/>
    </row>
    <row r="223" spans="1:9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"/>
      <c r="B224" s="1"/>
      <c r="C224" s="1"/>
      <c r="D224" s="1"/>
      <c r="E224" s="1"/>
      <c r="F224" s="1"/>
      <c r="G224" s="1"/>
      <c r="H224" s="1"/>
      <c r="I224" s="1"/>
    </row>
    <row r="225" spans="1:9" x14ac:dyDescent="0.25">
      <c r="A225" s="1"/>
      <c r="B225" s="1"/>
      <c r="C225" s="1"/>
      <c r="D225" s="1"/>
      <c r="E225" s="1"/>
      <c r="F225" s="1"/>
      <c r="G225" s="1"/>
      <c r="H225" s="1"/>
      <c r="I225" s="1"/>
    </row>
    <row r="226" spans="1:9" x14ac:dyDescent="0.25">
      <c r="A226" s="1"/>
      <c r="B226" s="1"/>
      <c r="C226" s="1"/>
      <c r="D226" s="1"/>
      <c r="E226" s="1"/>
      <c r="F226" s="1"/>
      <c r="G226" s="1"/>
      <c r="H226" s="1"/>
      <c r="I226" s="1"/>
    </row>
    <row r="227" spans="1:9" x14ac:dyDescent="0.25">
      <c r="A227" s="1"/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"/>
      <c r="B228" s="1"/>
      <c r="C228" s="1"/>
      <c r="D228" s="1"/>
      <c r="E228" s="1"/>
      <c r="F228" s="1"/>
      <c r="G228" s="1"/>
      <c r="H228" s="1"/>
      <c r="I228" s="1"/>
    </row>
    <row r="229" spans="1:9" x14ac:dyDescent="0.25">
      <c r="A229" s="1"/>
      <c r="B229" s="1"/>
      <c r="C229" s="1"/>
      <c r="D229" s="1"/>
      <c r="E229" s="1"/>
      <c r="F229" s="1"/>
      <c r="G229" s="1"/>
      <c r="H229" s="1"/>
      <c r="I229" s="1"/>
    </row>
    <row r="230" spans="1:9" x14ac:dyDescent="0.25">
      <c r="A230" s="1"/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1"/>
      <c r="B231" s="1"/>
      <c r="C231" s="1"/>
      <c r="D231" s="1"/>
      <c r="E231" s="1"/>
      <c r="F231" s="1"/>
      <c r="G231" s="1"/>
      <c r="H231" s="1"/>
      <c r="I231" s="1"/>
    </row>
    <row r="232" spans="1:9" x14ac:dyDescent="0.25">
      <c r="A232" s="1"/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1"/>
      <c r="B233" s="1"/>
      <c r="C233" s="1"/>
      <c r="D233" s="1"/>
      <c r="E233" s="1"/>
      <c r="F233" s="1"/>
      <c r="G233" s="1"/>
      <c r="H233" s="1"/>
      <c r="I233" s="1"/>
    </row>
    <row r="234" spans="1:9" x14ac:dyDescent="0.25">
      <c r="A234" s="1"/>
      <c r="B234" s="1"/>
      <c r="C234" s="1"/>
      <c r="D234" s="1"/>
      <c r="E234" s="1"/>
      <c r="F234" s="1"/>
      <c r="G234" s="1"/>
      <c r="H234" s="1"/>
      <c r="I234" s="1"/>
    </row>
    <row r="235" spans="1:9" x14ac:dyDescent="0.25">
      <c r="A235" s="1"/>
      <c r="B235" s="1"/>
      <c r="C235" s="1"/>
      <c r="D235" s="1"/>
      <c r="E235" s="1"/>
      <c r="F235" s="1"/>
      <c r="G235" s="1"/>
      <c r="H235" s="1"/>
      <c r="I235" s="1"/>
    </row>
    <row r="236" spans="1:9" x14ac:dyDescent="0.25">
      <c r="A236" s="1"/>
      <c r="B236" s="1"/>
      <c r="C236" s="1"/>
      <c r="D236" s="1"/>
      <c r="E236" s="1"/>
      <c r="F236" s="1"/>
      <c r="G236" s="1"/>
      <c r="H236" s="1"/>
      <c r="I236" s="1"/>
    </row>
    <row r="237" spans="1:9" x14ac:dyDescent="0.25">
      <c r="A237" s="1"/>
      <c r="B237" s="1"/>
      <c r="C237" s="1"/>
      <c r="D237" s="1"/>
      <c r="E237" s="1"/>
      <c r="F237" s="1"/>
      <c r="G237" s="1"/>
      <c r="H237" s="1"/>
      <c r="I237" s="1"/>
    </row>
    <row r="238" spans="1:9" x14ac:dyDescent="0.25">
      <c r="A238" s="1"/>
      <c r="B238" s="1"/>
      <c r="C238" s="1"/>
      <c r="D238" s="1"/>
      <c r="E238" s="1"/>
      <c r="F238" s="1"/>
      <c r="G238" s="1"/>
      <c r="H238" s="1"/>
      <c r="I238" s="1"/>
    </row>
    <row r="239" spans="1:9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9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9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9" x14ac:dyDescent="0.25">
      <c r="A242" s="1"/>
      <c r="B242" s="1"/>
      <c r="C242" s="1"/>
      <c r="D242" s="1"/>
      <c r="E242" s="1"/>
      <c r="F242" s="1"/>
      <c r="G242" s="1"/>
      <c r="H242" s="1"/>
      <c r="I242" s="1"/>
    </row>
    <row r="243" spans="1:9" x14ac:dyDescent="0.25">
      <c r="A243" s="1"/>
      <c r="B243" s="1"/>
      <c r="C243" s="1"/>
      <c r="D243" s="1"/>
      <c r="E243" s="1"/>
      <c r="F243" s="1"/>
      <c r="G243" s="1"/>
      <c r="H243" s="1"/>
      <c r="I243" s="1"/>
    </row>
    <row r="244" spans="1:9" x14ac:dyDescent="0.25">
      <c r="A244" s="1"/>
      <c r="B244" s="1"/>
      <c r="C244" s="1"/>
      <c r="D244" s="1"/>
      <c r="E244" s="1"/>
      <c r="F244" s="1"/>
      <c r="G244" s="1"/>
      <c r="H244" s="1"/>
      <c r="I244" s="1"/>
    </row>
    <row r="245" spans="1:9" x14ac:dyDescent="0.25">
      <c r="A245" s="1"/>
      <c r="B245" s="1"/>
      <c r="C245" s="1"/>
      <c r="D245" s="1"/>
      <c r="E245" s="1"/>
      <c r="F245" s="1"/>
      <c r="G245" s="1"/>
      <c r="H245" s="1"/>
      <c r="I245" s="1"/>
    </row>
    <row r="246" spans="1:9" x14ac:dyDescent="0.25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25">
      <c r="A247" s="1"/>
      <c r="B247" s="1"/>
      <c r="C247" s="1"/>
      <c r="D247" s="1"/>
      <c r="E247" s="1"/>
      <c r="F247" s="1"/>
      <c r="G247" s="1"/>
      <c r="H247" s="1"/>
      <c r="I247" s="1"/>
    </row>
    <row r="248" spans="1:9" x14ac:dyDescent="0.25">
      <c r="A248" s="1"/>
      <c r="B248" s="1"/>
      <c r="C248" s="1"/>
      <c r="D248" s="1"/>
      <c r="E248" s="1"/>
      <c r="F248" s="1"/>
      <c r="G248" s="1"/>
      <c r="H248" s="1"/>
      <c r="I248" s="1"/>
    </row>
    <row r="249" spans="1:9" x14ac:dyDescent="0.25">
      <c r="A249" s="1"/>
      <c r="B249" s="1"/>
      <c r="C249" s="1"/>
      <c r="D249" s="1"/>
      <c r="E249" s="1"/>
      <c r="F249" s="1"/>
      <c r="G249" s="1"/>
      <c r="H249" s="1"/>
      <c r="I249" s="1"/>
    </row>
    <row r="250" spans="1:9" x14ac:dyDescent="0.25">
      <c r="A250" s="1"/>
      <c r="B250" s="1"/>
      <c r="C250" s="1"/>
      <c r="D250" s="1"/>
      <c r="E250" s="1"/>
      <c r="F250" s="1"/>
      <c r="G250" s="1"/>
      <c r="H250" s="1"/>
      <c r="I250" s="1"/>
    </row>
    <row r="251" spans="1:9" x14ac:dyDescent="0.25">
      <c r="A251" s="1"/>
      <c r="B251" s="1"/>
      <c r="C251" s="1"/>
      <c r="D251" s="1"/>
      <c r="E251" s="1"/>
      <c r="F251" s="1"/>
      <c r="G251" s="1"/>
      <c r="H251" s="1"/>
      <c r="I251" s="1"/>
    </row>
    <row r="252" spans="1:9" x14ac:dyDescent="0.25">
      <c r="A252" s="1"/>
      <c r="B252" s="1"/>
      <c r="C252" s="1"/>
      <c r="D252" s="1"/>
      <c r="E252" s="1"/>
      <c r="F252" s="1"/>
      <c r="G252" s="1"/>
      <c r="H252" s="1"/>
      <c r="I252" s="1"/>
    </row>
    <row r="253" spans="1:9" x14ac:dyDescent="0.25">
      <c r="A253" s="1"/>
      <c r="B253" s="1"/>
      <c r="C253" s="1"/>
      <c r="D253" s="1"/>
      <c r="E253" s="1"/>
      <c r="F253" s="1"/>
      <c r="G253" s="1"/>
      <c r="H253" s="1"/>
      <c r="I253" s="1"/>
    </row>
    <row r="254" spans="1:9" x14ac:dyDescent="0.25">
      <c r="A254" s="1"/>
      <c r="B254" s="1"/>
      <c r="C254" s="1"/>
      <c r="D254" s="1"/>
      <c r="E254" s="1"/>
      <c r="F254" s="1"/>
      <c r="G254" s="1"/>
      <c r="H254" s="1"/>
      <c r="I254" s="1"/>
    </row>
    <row r="255" spans="1:9" x14ac:dyDescent="0.25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25">
      <c r="A256" s="1"/>
      <c r="B256" s="1"/>
      <c r="C256" s="1"/>
      <c r="D256" s="1"/>
      <c r="E256" s="1"/>
      <c r="F256" s="1"/>
      <c r="G256" s="1"/>
      <c r="H256" s="1"/>
      <c r="I256" s="1"/>
    </row>
    <row r="257" spans="1:9" x14ac:dyDescent="0.25">
      <c r="A257" s="1"/>
      <c r="B257" s="1"/>
      <c r="C257" s="1"/>
      <c r="D257" s="1"/>
      <c r="E257" s="1"/>
      <c r="F257" s="1"/>
      <c r="G257" s="1"/>
      <c r="H257" s="1"/>
      <c r="I257" s="1"/>
    </row>
    <row r="258" spans="1:9" x14ac:dyDescent="0.25">
      <c r="A258" s="1"/>
      <c r="B258" s="1"/>
      <c r="C258" s="1"/>
      <c r="D258" s="1"/>
      <c r="E258" s="1"/>
      <c r="F258" s="1"/>
      <c r="G258" s="1"/>
      <c r="H258" s="1"/>
      <c r="I258" s="1"/>
    </row>
    <row r="259" spans="1:9" x14ac:dyDescent="0.25">
      <c r="A259" s="1"/>
      <c r="B259" s="1"/>
      <c r="C259" s="1"/>
      <c r="D259" s="1"/>
      <c r="E259" s="1"/>
      <c r="F259" s="1"/>
      <c r="G259" s="1"/>
      <c r="H259" s="1"/>
      <c r="I259" s="1"/>
    </row>
    <row r="260" spans="1:9" x14ac:dyDescent="0.25">
      <c r="A260" s="1"/>
      <c r="B260" s="1"/>
      <c r="C260" s="1"/>
      <c r="D260" s="1"/>
      <c r="E260" s="1"/>
      <c r="F260" s="1"/>
      <c r="G260" s="1"/>
      <c r="H260" s="1"/>
      <c r="I260" s="1"/>
    </row>
    <row r="261" spans="1:9" x14ac:dyDescent="0.25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25">
      <c r="A262" s="1"/>
      <c r="B262" s="1"/>
      <c r="C262" s="1"/>
      <c r="D262" s="1"/>
      <c r="E262" s="1"/>
      <c r="F262" s="1"/>
      <c r="G262" s="1"/>
      <c r="H262" s="1"/>
      <c r="I262" s="1"/>
    </row>
    <row r="263" spans="1:9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9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9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9" x14ac:dyDescent="0.25">
      <c r="A266" s="1"/>
      <c r="B266" s="1"/>
      <c r="C266" s="1"/>
      <c r="D266" s="1"/>
      <c r="E266" s="1"/>
      <c r="F266" s="1"/>
      <c r="G266" s="1"/>
      <c r="H266" s="1"/>
      <c r="I266" s="1"/>
    </row>
    <row r="267" spans="1:9" x14ac:dyDescent="0.25">
      <c r="A267" s="1"/>
      <c r="B267" s="1"/>
      <c r="C267" s="1"/>
      <c r="D267" s="1"/>
      <c r="E267" s="1"/>
      <c r="F267" s="1"/>
      <c r="G267" s="1"/>
      <c r="H267" s="1"/>
      <c r="I267" s="1"/>
    </row>
    <row r="268" spans="1:9" x14ac:dyDescent="0.25">
      <c r="A268" s="1"/>
      <c r="B268" s="1"/>
      <c r="C268" s="1"/>
      <c r="D268" s="1"/>
      <c r="E268" s="1"/>
      <c r="F268" s="1"/>
      <c r="G268" s="1"/>
      <c r="H268" s="1"/>
      <c r="I268" s="1"/>
    </row>
    <row r="269" spans="1:9" x14ac:dyDescent="0.25">
      <c r="A269" s="1"/>
      <c r="B269" s="1"/>
      <c r="C269" s="1"/>
      <c r="D269" s="1"/>
      <c r="E269" s="1"/>
      <c r="F269" s="1"/>
      <c r="G269" s="1"/>
      <c r="H269" s="1"/>
      <c r="I269" s="1"/>
    </row>
    <row r="270" spans="1:9" x14ac:dyDescent="0.25">
      <c r="A270" s="1"/>
      <c r="B270" s="1"/>
      <c r="C270" s="1"/>
      <c r="D270" s="1"/>
      <c r="E270" s="1"/>
      <c r="F270" s="1"/>
      <c r="G270" s="1"/>
      <c r="H270" s="1"/>
      <c r="I270" s="1"/>
    </row>
    <row r="271" spans="1:9" x14ac:dyDescent="0.25">
      <c r="A271" s="1"/>
      <c r="B271" s="1"/>
      <c r="C271" s="1"/>
      <c r="D271" s="1"/>
      <c r="E271" s="1"/>
      <c r="F271" s="1"/>
      <c r="G271" s="1"/>
      <c r="H271" s="1"/>
      <c r="I271" s="1"/>
    </row>
    <row r="272" spans="1:9" x14ac:dyDescent="0.25">
      <c r="A272" s="1"/>
      <c r="B272" s="1"/>
      <c r="C272" s="1"/>
      <c r="D272" s="1"/>
      <c r="E272" s="1"/>
      <c r="F272" s="1"/>
      <c r="G272" s="1"/>
      <c r="H272" s="1"/>
      <c r="I272" s="1"/>
    </row>
    <row r="273" spans="1:9" x14ac:dyDescent="0.25">
      <c r="A273" s="1"/>
      <c r="B273" s="1"/>
      <c r="C273" s="1"/>
      <c r="D273" s="1"/>
      <c r="E273" s="1"/>
      <c r="F273" s="1"/>
      <c r="G273" s="1"/>
      <c r="H273" s="1"/>
      <c r="I273" s="1"/>
    </row>
    <row r="274" spans="1:9" x14ac:dyDescent="0.25">
      <c r="A274" s="1"/>
      <c r="B274" s="1"/>
      <c r="C274" s="1"/>
      <c r="D274" s="1"/>
      <c r="E274" s="1"/>
      <c r="F274" s="1"/>
      <c r="G274" s="1"/>
      <c r="H274" s="1"/>
      <c r="I274" s="1"/>
    </row>
    <row r="275" spans="1:9" x14ac:dyDescent="0.25">
      <c r="A275" s="1"/>
      <c r="B275" s="1"/>
      <c r="C275" s="1"/>
      <c r="D275" s="1"/>
      <c r="E275" s="1"/>
      <c r="F275" s="1"/>
      <c r="G275" s="1"/>
      <c r="H275" s="1"/>
      <c r="I275" s="1"/>
    </row>
    <row r="276" spans="1:9" x14ac:dyDescent="0.25">
      <c r="A276" s="1"/>
      <c r="B276" s="1"/>
      <c r="C276" s="1"/>
      <c r="D276" s="1"/>
      <c r="E276" s="1"/>
      <c r="F276" s="1"/>
      <c r="G276" s="1"/>
      <c r="H276" s="1"/>
      <c r="I276" s="1"/>
    </row>
    <row r="277" spans="1:9" x14ac:dyDescent="0.25">
      <c r="A277" s="1"/>
      <c r="B277" s="1"/>
      <c r="C277" s="1"/>
      <c r="D277" s="1"/>
      <c r="E277" s="1"/>
      <c r="F277" s="1"/>
      <c r="G277" s="1"/>
      <c r="H277" s="1"/>
      <c r="I277" s="1"/>
    </row>
    <row r="278" spans="1:9" x14ac:dyDescent="0.25">
      <c r="A278" s="1"/>
      <c r="B278" s="1"/>
      <c r="C278" s="1"/>
      <c r="D278" s="1"/>
      <c r="E278" s="1"/>
      <c r="F278" s="1"/>
      <c r="G278" s="1"/>
      <c r="H278" s="1"/>
      <c r="I278" s="1"/>
    </row>
    <row r="279" spans="1:9" x14ac:dyDescent="0.25">
      <c r="A279" s="1"/>
      <c r="B279" s="1"/>
      <c r="C279" s="1"/>
      <c r="D279" s="1"/>
      <c r="E279" s="1"/>
      <c r="F279" s="1"/>
      <c r="G279" s="1"/>
      <c r="H279" s="1"/>
      <c r="I279" s="1"/>
    </row>
    <row r="280" spans="1:9" x14ac:dyDescent="0.25">
      <c r="A280" s="1"/>
      <c r="B280" s="1"/>
      <c r="C280" s="1"/>
      <c r="D280" s="1"/>
      <c r="E280" s="1"/>
      <c r="F280" s="1"/>
      <c r="G280" s="1"/>
      <c r="H280" s="1"/>
      <c r="I280" s="1"/>
    </row>
    <row r="281" spans="1:9" x14ac:dyDescent="0.25">
      <c r="A281" s="1"/>
      <c r="B281" s="1"/>
      <c r="C281" s="1"/>
      <c r="D281" s="1"/>
      <c r="E281" s="1"/>
      <c r="F281" s="1"/>
      <c r="G281" s="1"/>
      <c r="H281" s="1"/>
      <c r="I281" s="1"/>
    </row>
    <row r="282" spans="1:9" x14ac:dyDescent="0.25">
      <c r="A282" s="1"/>
      <c r="B282" s="1"/>
      <c r="C282" s="1"/>
      <c r="D282" s="1"/>
      <c r="E282" s="1"/>
      <c r="F282" s="1"/>
      <c r="G282" s="1"/>
      <c r="H282" s="1"/>
      <c r="I282" s="1"/>
    </row>
    <row r="283" spans="1:9" x14ac:dyDescent="0.25">
      <c r="A283" s="1"/>
      <c r="B283" s="1"/>
      <c r="C283" s="1"/>
      <c r="D283" s="1"/>
      <c r="E283" s="1"/>
      <c r="F283" s="1"/>
      <c r="G283" s="1"/>
      <c r="H283" s="1"/>
      <c r="I283" s="1"/>
    </row>
    <row r="284" spans="1:9" x14ac:dyDescent="0.25">
      <c r="A284" s="1"/>
      <c r="B284" s="1"/>
      <c r="C284" s="1"/>
      <c r="D284" s="1"/>
      <c r="E284" s="1"/>
      <c r="F284" s="1"/>
      <c r="G284" s="1"/>
      <c r="H284" s="1"/>
      <c r="I284" s="1"/>
    </row>
    <row r="285" spans="1:9" x14ac:dyDescent="0.25">
      <c r="A285" s="1"/>
      <c r="B285" s="1"/>
      <c r="C285" s="1"/>
      <c r="D285" s="1"/>
      <c r="E285" s="1"/>
      <c r="F285" s="1"/>
      <c r="G285" s="1"/>
      <c r="H285" s="1"/>
      <c r="I285" s="1"/>
    </row>
    <row r="286" spans="1:9" x14ac:dyDescent="0.25">
      <c r="A286" s="1"/>
      <c r="B286" s="1"/>
      <c r="C286" s="1"/>
      <c r="D286" s="1"/>
      <c r="E286" s="1"/>
      <c r="F286" s="1"/>
      <c r="G286" s="1"/>
      <c r="H286" s="1"/>
      <c r="I286" s="1"/>
    </row>
    <row r="287" spans="1:9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s="1"/>
      <c r="B291" s="1"/>
      <c r="C291" s="1"/>
      <c r="D291" s="1"/>
      <c r="E291" s="1"/>
      <c r="F291" s="1"/>
      <c r="G291" s="1"/>
      <c r="H291" s="1"/>
      <c r="I291" s="1"/>
    </row>
    <row r="292" spans="1:9" x14ac:dyDescent="0.25">
      <c r="A292" s="1"/>
      <c r="B292" s="1"/>
      <c r="C292" s="1"/>
      <c r="D292" s="1"/>
      <c r="E292" s="1"/>
      <c r="F292" s="1"/>
      <c r="G292" s="1"/>
      <c r="H292" s="1"/>
      <c r="I292" s="1"/>
    </row>
    <row r="293" spans="1:9" x14ac:dyDescent="0.25">
      <c r="A293" s="1"/>
      <c r="B293" s="1"/>
      <c r="C293" s="1"/>
      <c r="D293" s="1"/>
      <c r="E293" s="1"/>
      <c r="F293" s="1"/>
      <c r="G293" s="1"/>
      <c r="H293" s="1"/>
      <c r="I293" s="1"/>
    </row>
    <row r="294" spans="1:9" x14ac:dyDescent="0.25">
      <c r="A294" s="1"/>
      <c r="B294" s="1"/>
      <c r="C294" s="1"/>
      <c r="D294" s="1"/>
      <c r="E294" s="1"/>
      <c r="F294" s="1"/>
      <c r="G294" s="1"/>
      <c r="H294" s="1"/>
      <c r="I294" s="1"/>
    </row>
    <row r="295" spans="1:9" x14ac:dyDescent="0.25">
      <c r="A295" s="1"/>
      <c r="B295" s="1"/>
      <c r="C295" s="1"/>
      <c r="D295" s="1"/>
      <c r="E295" s="1"/>
      <c r="F295" s="1"/>
      <c r="G295" s="1"/>
      <c r="H295" s="1"/>
      <c r="I295" s="1"/>
    </row>
    <row r="296" spans="1:9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9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9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9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9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1" spans="1:9" x14ac:dyDescent="0.25">
      <c r="A301" s="1"/>
      <c r="B301" s="1"/>
      <c r="C301" s="1"/>
      <c r="D301" s="1"/>
      <c r="E301" s="1"/>
      <c r="F301" s="1"/>
      <c r="G301" s="1"/>
      <c r="H301" s="1"/>
      <c r="I301" s="1"/>
    </row>
    <row r="302" spans="1:9" x14ac:dyDescent="0.25">
      <c r="A302" s="1"/>
      <c r="B302" s="1"/>
      <c r="C302" s="1"/>
      <c r="D302" s="1"/>
      <c r="E302" s="1"/>
      <c r="F302" s="1"/>
      <c r="G302" s="1"/>
      <c r="H302" s="1"/>
      <c r="I302" s="1"/>
    </row>
    <row r="303" spans="1:9" x14ac:dyDescent="0.25">
      <c r="A303" s="1"/>
      <c r="B303" s="1"/>
      <c r="C303" s="1"/>
      <c r="D303" s="1"/>
      <c r="E303" s="1"/>
      <c r="F303" s="1"/>
      <c r="G303" s="1"/>
      <c r="H303" s="1"/>
      <c r="I303" s="1"/>
    </row>
    <row r="304" spans="1:9" x14ac:dyDescent="0.25">
      <c r="A304" s="1"/>
      <c r="B304" s="1"/>
      <c r="C304" s="1"/>
      <c r="D304" s="1"/>
      <c r="E304" s="1"/>
      <c r="F304" s="1"/>
      <c r="G304" s="1"/>
      <c r="H304" s="1"/>
      <c r="I304" s="1"/>
    </row>
    <row r="305" spans="1:9" x14ac:dyDescent="0.25">
      <c r="A305" s="1"/>
      <c r="B305" s="1"/>
      <c r="C305" s="1"/>
      <c r="D305" s="1"/>
      <c r="E305" s="1"/>
      <c r="F305" s="1"/>
      <c r="G305" s="1"/>
      <c r="H305" s="1"/>
      <c r="I305" s="1"/>
    </row>
    <row r="306" spans="1:9" x14ac:dyDescent="0.25">
      <c r="A306" s="1"/>
      <c r="B306" s="1"/>
      <c r="C306" s="1"/>
      <c r="D306" s="1"/>
      <c r="E306" s="1"/>
      <c r="F306" s="1"/>
      <c r="G306" s="1"/>
      <c r="H306" s="1"/>
      <c r="I306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A343" s="1"/>
      <c r="B343" s="1"/>
      <c r="C343" s="1"/>
      <c r="D343" s="1"/>
      <c r="E343" s="1"/>
      <c r="F343" s="1"/>
      <c r="G343" s="1"/>
      <c r="H343" s="1"/>
      <c r="I343" s="1"/>
    </row>
    <row r="344" spans="1:9" x14ac:dyDescent="0.25">
      <c r="A344" s="1"/>
      <c r="B344" s="1"/>
      <c r="C344" s="1"/>
      <c r="D344" s="1"/>
      <c r="E344" s="1"/>
      <c r="F344" s="1"/>
      <c r="G344" s="1"/>
      <c r="H344" s="1"/>
      <c r="I344" s="1"/>
    </row>
    <row r="345" spans="1:9" x14ac:dyDescent="0.25">
      <c r="A345" s="1"/>
      <c r="B345" s="1"/>
      <c r="C345" s="1"/>
      <c r="D345" s="1"/>
      <c r="E345" s="1"/>
      <c r="F345" s="1"/>
      <c r="G345" s="1"/>
      <c r="H345" s="1"/>
      <c r="I345" s="1"/>
    </row>
    <row r="346" spans="1:9" x14ac:dyDescent="0.25">
      <c r="A346" s="1"/>
      <c r="B346" s="1"/>
      <c r="C346" s="1"/>
      <c r="D346" s="1"/>
      <c r="E346" s="1"/>
      <c r="F346" s="1"/>
      <c r="G346" s="1"/>
      <c r="H346" s="1"/>
      <c r="I346" s="1"/>
    </row>
    <row r="347" spans="1:9" x14ac:dyDescent="0.25">
      <c r="A347" s="1"/>
      <c r="B347" s="1"/>
      <c r="C347" s="1"/>
      <c r="D347" s="1"/>
      <c r="E347" s="1"/>
      <c r="F347" s="1"/>
      <c r="G347" s="1"/>
      <c r="H347" s="1"/>
      <c r="I347" s="1"/>
    </row>
    <row r="348" spans="1:9" x14ac:dyDescent="0.25">
      <c r="A348" s="1"/>
      <c r="B348" s="1"/>
      <c r="C348" s="1"/>
      <c r="D348" s="1"/>
      <c r="E348" s="1"/>
      <c r="F348" s="1"/>
      <c r="G348" s="1"/>
      <c r="H348" s="1"/>
      <c r="I348" s="1"/>
    </row>
    <row r="349" spans="1:9" x14ac:dyDescent="0.25">
      <c r="A349" s="1"/>
      <c r="B349" s="1"/>
      <c r="C349" s="1"/>
      <c r="D349" s="1"/>
      <c r="E349" s="1"/>
      <c r="F349" s="1"/>
      <c r="G349" s="1"/>
      <c r="H349" s="1"/>
      <c r="I349" s="1"/>
    </row>
    <row r="350" spans="1:9" x14ac:dyDescent="0.25">
      <c r="A350" s="1"/>
      <c r="B350" s="1"/>
      <c r="C350" s="1"/>
      <c r="D350" s="1"/>
      <c r="E350" s="1"/>
      <c r="F350" s="1"/>
      <c r="G350" s="1"/>
      <c r="H350" s="1"/>
      <c r="I350" s="1"/>
    </row>
    <row r="351" spans="1:9" x14ac:dyDescent="0.25">
      <c r="A351" s="1"/>
      <c r="B351" s="1"/>
      <c r="C351" s="1"/>
      <c r="D351" s="1"/>
      <c r="E351" s="1"/>
      <c r="F351" s="1"/>
      <c r="G351" s="1"/>
      <c r="H351" s="1"/>
      <c r="I351" s="1"/>
    </row>
    <row r="352" spans="1:9" x14ac:dyDescent="0.25">
      <c r="A352" s="1"/>
      <c r="B352" s="1"/>
      <c r="C352" s="1"/>
      <c r="D352" s="1"/>
      <c r="E352" s="1"/>
      <c r="F352" s="1"/>
      <c r="G352" s="1"/>
      <c r="H352" s="1"/>
      <c r="I352" s="1"/>
    </row>
    <row r="353" spans="1:9" x14ac:dyDescent="0.25">
      <c r="A353" s="1"/>
      <c r="B353" s="1"/>
      <c r="C353" s="1"/>
      <c r="D353" s="1"/>
      <c r="E353" s="1"/>
      <c r="F353" s="1"/>
      <c r="G353" s="1"/>
      <c r="H353" s="1"/>
      <c r="I353" s="1"/>
    </row>
    <row r="354" spans="1:9" x14ac:dyDescent="0.25">
      <c r="A354" s="1"/>
      <c r="B354" s="1"/>
      <c r="C354" s="1"/>
      <c r="D354" s="1"/>
      <c r="E354" s="1"/>
      <c r="F354" s="1"/>
      <c r="G354" s="1"/>
      <c r="H354" s="1"/>
      <c r="I354" s="1"/>
    </row>
    <row r="355" spans="1:9" x14ac:dyDescent="0.25">
      <c r="A355" s="1"/>
      <c r="B355" s="1"/>
      <c r="C355" s="1"/>
      <c r="D355" s="1"/>
      <c r="E355" s="1"/>
      <c r="F355" s="1"/>
      <c r="G355" s="1"/>
      <c r="H355" s="1"/>
      <c r="I355" s="1"/>
    </row>
    <row r="356" spans="1:9" x14ac:dyDescent="0.25">
      <c r="A356" s="1"/>
      <c r="B356" s="1"/>
      <c r="C356" s="1"/>
      <c r="D356" s="1"/>
      <c r="E356" s="1"/>
      <c r="F356" s="1"/>
      <c r="G356" s="1"/>
      <c r="H356" s="1"/>
      <c r="I356" s="1"/>
    </row>
    <row r="357" spans="1:9" x14ac:dyDescent="0.25">
      <c r="A357" s="1"/>
      <c r="B357" s="1"/>
      <c r="C357" s="1"/>
      <c r="D357" s="1"/>
      <c r="E357" s="1"/>
      <c r="F357" s="1"/>
      <c r="G357" s="1"/>
      <c r="H357" s="1"/>
      <c r="I357" s="1"/>
    </row>
    <row r="358" spans="1:9" x14ac:dyDescent="0.25">
      <c r="A358" s="1"/>
      <c r="B358" s="1"/>
      <c r="C358" s="1"/>
      <c r="D358" s="1"/>
      <c r="E358" s="1"/>
      <c r="F358" s="1"/>
      <c r="G358" s="1"/>
      <c r="H358" s="1"/>
      <c r="I358" s="1"/>
    </row>
    <row r="359" spans="1:9" x14ac:dyDescent="0.25">
      <c r="A359" s="1"/>
      <c r="B359" s="1"/>
      <c r="C359" s="1"/>
      <c r="D359" s="1"/>
      <c r="E359" s="1"/>
      <c r="F359" s="1"/>
      <c r="G359" s="1"/>
      <c r="H359" s="1"/>
      <c r="I359" s="1"/>
    </row>
    <row r="360" spans="1:9" x14ac:dyDescent="0.25">
      <c r="A360" s="1"/>
      <c r="B360" s="1"/>
      <c r="C360" s="1"/>
      <c r="D360" s="1"/>
      <c r="E360" s="1"/>
      <c r="F360" s="1"/>
      <c r="G360" s="1"/>
      <c r="H360" s="1"/>
      <c r="I360" s="1"/>
    </row>
    <row r="361" spans="1:9" x14ac:dyDescent="0.25">
      <c r="A361" s="1"/>
      <c r="B361" s="1"/>
      <c r="C361" s="1"/>
      <c r="D361" s="1"/>
      <c r="E361" s="1"/>
      <c r="F361" s="1"/>
      <c r="G361" s="1"/>
      <c r="H361" s="1"/>
      <c r="I361" s="1"/>
    </row>
    <row r="362" spans="1:9" x14ac:dyDescent="0.25">
      <c r="A362" s="1"/>
      <c r="B362" s="1"/>
      <c r="C362" s="1"/>
      <c r="D362" s="1"/>
      <c r="E362" s="1"/>
      <c r="F362" s="1"/>
      <c r="G362" s="1"/>
      <c r="H362" s="1"/>
      <c r="I362" s="1"/>
    </row>
    <row r="363" spans="1:9" x14ac:dyDescent="0.25">
      <c r="A363" s="1"/>
      <c r="B363" s="1"/>
      <c r="C363" s="1"/>
      <c r="D363" s="1"/>
      <c r="E363" s="1"/>
      <c r="F363" s="1"/>
      <c r="G363" s="1"/>
      <c r="H363" s="1"/>
      <c r="I363" s="1"/>
    </row>
    <row r="364" spans="1:9" x14ac:dyDescent="0.25">
      <c r="A364" s="1"/>
      <c r="B364" s="1"/>
      <c r="C364" s="1"/>
      <c r="D364" s="1"/>
      <c r="E364" s="1"/>
      <c r="F364" s="1"/>
      <c r="G364" s="1"/>
      <c r="H364" s="1"/>
      <c r="I364" s="1"/>
    </row>
    <row r="365" spans="1:9" x14ac:dyDescent="0.25">
      <c r="A365" s="1"/>
      <c r="B365" s="1"/>
      <c r="C365" s="1"/>
      <c r="D365" s="1"/>
      <c r="E365" s="1"/>
      <c r="F365" s="1"/>
      <c r="G365" s="1"/>
      <c r="H365" s="1"/>
      <c r="I365" s="1"/>
    </row>
    <row r="366" spans="1:9" x14ac:dyDescent="0.25">
      <c r="A366" s="1"/>
      <c r="B366" s="1"/>
      <c r="C366" s="1"/>
      <c r="D366" s="1"/>
      <c r="E366" s="1"/>
      <c r="F366" s="1"/>
      <c r="G366" s="1"/>
      <c r="H366" s="1"/>
      <c r="I366" s="1"/>
    </row>
    <row r="367" spans="1:9" x14ac:dyDescent="0.25">
      <c r="A367" s="1"/>
      <c r="B367" s="1"/>
      <c r="C367" s="1"/>
      <c r="D367" s="1"/>
      <c r="E367" s="1"/>
      <c r="F367" s="1"/>
      <c r="G367" s="1"/>
      <c r="H367" s="1"/>
      <c r="I367" s="1"/>
    </row>
    <row r="368" spans="1:9" x14ac:dyDescent="0.25">
      <c r="A368" s="1"/>
      <c r="B368" s="1"/>
      <c r="C368" s="1"/>
      <c r="D368" s="1"/>
      <c r="E368" s="1"/>
      <c r="F368" s="1"/>
      <c r="G368" s="1"/>
      <c r="H368" s="1"/>
      <c r="I368" s="1"/>
    </row>
    <row r="369" spans="1:9" x14ac:dyDescent="0.25">
      <c r="A369" s="1"/>
      <c r="B369" s="1"/>
      <c r="C369" s="1"/>
      <c r="D369" s="1"/>
      <c r="E369" s="1"/>
      <c r="F369" s="1"/>
      <c r="G369" s="1"/>
      <c r="H369" s="1"/>
      <c r="I369" s="1"/>
    </row>
    <row r="370" spans="1:9" x14ac:dyDescent="0.25">
      <c r="A370" s="1"/>
      <c r="B370" s="1"/>
      <c r="C370" s="1"/>
      <c r="D370" s="1"/>
      <c r="E370" s="1"/>
      <c r="F370" s="1"/>
      <c r="G370" s="1"/>
      <c r="H370" s="1"/>
      <c r="I370" s="1"/>
    </row>
    <row r="371" spans="1:9" x14ac:dyDescent="0.25">
      <c r="A371" s="1"/>
      <c r="B371" s="1"/>
      <c r="C371" s="1"/>
      <c r="D371" s="1"/>
      <c r="E371" s="1"/>
      <c r="F371" s="1"/>
      <c r="G371" s="1"/>
      <c r="H371" s="1"/>
      <c r="I371" s="1"/>
    </row>
    <row r="372" spans="1:9" x14ac:dyDescent="0.25">
      <c r="A372" s="1"/>
      <c r="B372" s="1"/>
      <c r="C372" s="1"/>
      <c r="D372" s="1"/>
      <c r="E372" s="1"/>
      <c r="F372" s="1"/>
      <c r="G372" s="1"/>
      <c r="H372" s="1"/>
      <c r="I372" s="1"/>
    </row>
    <row r="373" spans="1:9" x14ac:dyDescent="0.25">
      <c r="A373" s="1"/>
      <c r="B373" s="1"/>
      <c r="C373" s="1"/>
      <c r="D373" s="1"/>
      <c r="E373" s="1"/>
      <c r="F373" s="1"/>
      <c r="G373" s="1"/>
      <c r="H373" s="1"/>
      <c r="I373" s="1"/>
    </row>
    <row r="374" spans="1:9" x14ac:dyDescent="0.25">
      <c r="A374" s="1"/>
      <c r="B374" s="1"/>
      <c r="C374" s="1"/>
      <c r="D374" s="1"/>
      <c r="E374" s="1"/>
      <c r="F374" s="1"/>
      <c r="G374" s="1"/>
      <c r="H374" s="1"/>
      <c r="I374" s="1"/>
    </row>
    <row r="375" spans="1:9" x14ac:dyDescent="0.25">
      <c r="A375" s="1"/>
      <c r="B375" s="1"/>
      <c r="C375" s="1"/>
      <c r="D375" s="1"/>
      <c r="E375" s="1"/>
      <c r="F375" s="1"/>
      <c r="G375" s="1"/>
      <c r="H375" s="1"/>
      <c r="I375" s="1"/>
    </row>
    <row r="376" spans="1:9" x14ac:dyDescent="0.25">
      <c r="A376" s="1"/>
      <c r="B376" s="1"/>
      <c r="C376" s="1"/>
      <c r="D376" s="1"/>
      <c r="E376" s="1"/>
      <c r="F376" s="1"/>
      <c r="G376" s="1"/>
      <c r="H376" s="1"/>
      <c r="I376" s="1"/>
    </row>
    <row r="377" spans="1:9" x14ac:dyDescent="0.25">
      <c r="A377" s="1"/>
      <c r="B377" s="1"/>
      <c r="C377" s="1"/>
      <c r="D377" s="1"/>
      <c r="E377" s="1"/>
      <c r="F377" s="1"/>
      <c r="G377" s="1"/>
      <c r="H377" s="1"/>
      <c r="I377" s="1"/>
    </row>
    <row r="378" spans="1:9" x14ac:dyDescent="0.25">
      <c r="A378" s="1"/>
      <c r="B378" s="1"/>
      <c r="C378" s="1"/>
      <c r="D378" s="1"/>
      <c r="E378" s="1"/>
      <c r="F378" s="1"/>
      <c r="G378" s="1"/>
      <c r="H378" s="1"/>
      <c r="I378" s="1"/>
    </row>
    <row r="379" spans="1:9" x14ac:dyDescent="0.25">
      <c r="A379" s="1"/>
      <c r="B379" s="1"/>
      <c r="C379" s="1"/>
      <c r="D379" s="1"/>
      <c r="E379" s="1"/>
      <c r="F379" s="1"/>
      <c r="G379" s="1"/>
      <c r="H379" s="1"/>
      <c r="I379" s="1"/>
    </row>
    <row r="380" spans="1:9" x14ac:dyDescent="0.25">
      <c r="A380" s="1"/>
      <c r="B380" s="1"/>
      <c r="C380" s="1"/>
      <c r="D380" s="1"/>
      <c r="E380" s="1"/>
      <c r="F380" s="1"/>
      <c r="G380" s="1"/>
      <c r="H380" s="1"/>
      <c r="I380" s="1"/>
    </row>
    <row r="381" spans="1:9" x14ac:dyDescent="0.25">
      <c r="A381" s="1"/>
      <c r="B381" s="1"/>
      <c r="C381" s="1"/>
      <c r="D381" s="1"/>
      <c r="E381" s="1"/>
      <c r="F381" s="1"/>
      <c r="G381" s="1"/>
      <c r="H381" s="1"/>
      <c r="I381" s="1"/>
    </row>
    <row r="382" spans="1:9" x14ac:dyDescent="0.25">
      <c r="A382" s="1"/>
      <c r="B382" s="1"/>
      <c r="C382" s="1"/>
      <c r="D382" s="1"/>
      <c r="E382" s="1"/>
      <c r="F382" s="1"/>
      <c r="G382" s="1"/>
      <c r="H382" s="1"/>
      <c r="I382" s="1"/>
    </row>
    <row r="383" spans="1:9" x14ac:dyDescent="0.25">
      <c r="A383" s="1"/>
      <c r="B383" s="1"/>
      <c r="C383" s="1"/>
      <c r="D383" s="1"/>
      <c r="E383" s="1"/>
      <c r="F383" s="1"/>
      <c r="G383" s="1"/>
      <c r="H383" s="1"/>
      <c r="I383" s="1"/>
    </row>
    <row r="384" spans="1:9" x14ac:dyDescent="0.25">
      <c r="A384" s="1"/>
      <c r="B384" s="1"/>
      <c r="C384" s="1"/>
      <c r="D384" s="1"/>
      <c r="E384" s="1"/>
      <c r="F384" s="1"/>
      <c r="G384" s="1"/>
      <c r="H384" s="1"/>
      <c r="I384" s="1"/>
    </row>
    <row r="385" spans="1:9" x14ac:dyDescent="0.25">
      <c r="A385" s="1"/>
      <c r="B385" s="1"/>
      <c r="C385" s="1"/>
      <c r="D385" s="1"/>
      <c r="E385" s="1"/>
      <c r="F385" s="1"/>
      <c r="G385" s="1"/>
      <c r="H385" s="1"/>
      <c r="I385" s="1"/>
    </row>
    <row r="386" spans="1:9" x14ac:dyDescent="0.25">
      <c r="A386" s="1"/>
      <c r="B386" s="1"/>
      <c r="C386" s="1"/>
      <c r="D386" s="1"/>
      <c r="E386" s="1"/>
      <c r="F386" s="1"/>
      <c r="G386" s="1"/>
      <c r="H386" s="1"/>
      <c r="I386" s="1"/>
    </row>
    <row r="387" spans="1:9" x14ac:dyDescent="0.25">
      <c r="A387" s="1"/>
      <c r="B387" s="1"/>
      <c r="C387" s="1"/>
      <c r="D387" s="1"/>
      <c r="E387" s="1"/>
      <c r="F387" s="1"/>
      <c r="G387" s="1"/>
      <c r="H387" s="1"/>
      <c r="I387" s="1"/>
    </row>
    <row r="388" spans="1:9" x14ac:dyDescent="0.25">
      <c r="A388" s="1"/>
      <c r="B388" s="1"/>
      <c r="C388" s="1"/>
      <c r="D388" s="1"/>
      <c r="E388" s="1"/>
      <c r="F388" s="1"/>
      <c r="G388" s="1"/>
      <c r="H388" s="1"/>
      <c r="I388" s="1"/>
    </row>
    <row r="389" spans="1:9" x14ac:dyDescent="0.25">
      <c r="A389" s="1"/>
      <c r="B389" s="1"/>
      <c r="C389" s="1"/>
      <c r="D389" s="1"/>
      <c r="E389" s="1"/>
      <c r="F389" s="1"/>
      <c r="G389" s="1"/>
      <c r="H389" s="1"/>
      <c r="I389" s="1"/>
    </row>
    <row r="390" spans="1:9" x14ac:dyDescent="0.25">
      <c r="A390" s="1"/>
      <c r="B390" s="1"/>
      <c r="C390" s="1"/>
      <c r="D390" s="1"/>
      <c r="E390" s="1"/>
      <c r="F390" s="1"/>
      <c r="G390" s="1"/>
      <c r="H390" s="1"/>
      <c r="I390" s="1"/>
    </row>
    <row r="391" spans="1:9" x14ac:dyDescent="0.25">
      <c r="A391" s="1"/>
      <c r="B391" s="1"/>
      <c r="C391" s="1"/>
      <c r="D391" s="1"/>
      <c r="E391" s="1"/>
      <c r="F391" s="1"/>
      <c r="G391" s="1"/>
      <c r="H391" s="1"/>
      <c r="I391" s="1"/>
    </row>
    <row r="392" spans="1:9" x14ac:dyDescent="0.25">
      <c r="A392" s="1"/>
      <c r="B392" s="1"/>
      <c r="C392" s="1"/>
      <c r="D392" s="1"/>
      <c r="E392" s="1"/>
      <c r="F392" s="1"/>
      <c r="G392" s="1"/>
      <c r="H392" s="1"/>
      <c r="I392" s="1"/>
    </row>
    <row r="393" spans="1:9" x14ac:dyDescent="0.25">
      <c r="A393" s="1"/>
      <c r="B393" s="1"/>
      <c r="C393" s="1"/>
      <c r="D393" s="1"/>
      <c r="E393" s="1"/>
      <c r="F393" s="1"/>
      <c r="G393" s="1"/>
      <c r="H393" s="1"/>
      <c r="I393" s="1"/>
    </row>
    <row r="394" spans="1:9" x14ac:dyDescent="0.25">
      <c r="A394" s="1"/>
      <c r="B394" s="1"/>
      <c r="C394" s="1"/>
      <c r="D394" s="1"/>
      <c r="E394" s="1"/>
      <c r="F394" s="1"/>
      <c r="G394" s="1"/>
      <c r="H394" s="1"/>
      <c r="I394" s="1"/>
    </row>
    <row r="395" spans="1:9" x14ac:dyDescent="0.25">
      <c r="A395" s="1"/>
      <c r="B395" s="1"/>
      <c r="C395" s="1"/>
      <c r="D395" s="1"/>
      <c r="E395" s="1"/>
      <c r="F395" s="1"/>
      <c r="G395" s="1"/>
      <c r="H395" s="1"/>
      <c r="I395" s="1"/>
    </row>
    <row r="396" spans="1:9" x14ac:dyDescent="0.25">
      <c r="A396" s="1"/>
      <c r="B396" s="1"/>
      <c r="C396" s="1"/>
      <c r="D396" s="1"/>
      <c r="E396" s="1"/>
      <c r="F396" s="1"/>
      <c r="G396" s="1"/>
      <c r="H396" s="1"/>
      <c r="I396" s="1"/>
    </row>
    <row r="397" spans="1:9" x14ac:dyDescent="0.25">
      <c r="A397" s="1"/>
      <c r="B397" s="1"/>
      <c r="C397" s="1"/>
      <c r="D397" s="1"/>
      <c r="E397" s="1"/>
      <c r="F397" s="1"/>
      <c r="G397" s="1"/>
      <c r="H397" s="1"/>
      <c r="I397" s="1"/>
    </row>
    <row r="398" spans="1:9" x14ac:dyDescent="0.25">
      <c r="A398" s="1"/>
      <c r="B398" s="1"/>
      <c r="C398" s="1"/>
      <c r="D398" s="1"/>
      <c r="E398" s="1"/>
      <c r="F398" s="1"/>
      <c r="G398" s="1"/>
      <c r="H398" s="1"/>
      <c r="I398" s="1"/>
    </row>
    <row r="399" spans="1:9" x14ac:dyDescent="0.25">
      <c r="A399" s="1"/>
      <c r="B399" s="1"/>
      <c r="C399" s="1"/>
      <c r="D399" s="1"/>
      <c r="E399" s="1"/>
      <c r="F399" s="1"/>
      <c r="G399" s="1"/>
      <c r="H399" s="1"/>
      <c r="I399" s="1"/>
    </row>
    <row r="400" spans="1:9" x14ac:dyDescent="0.25">
      <c r="A400" s="1"/>
      <c r="B400" s="1"/>
      <c r="C400" s="1"/>
      <c r="D400" s="1"/>
      <c r="E400" s="1"/>
      <c r="F400" s="1"/>
      <c r="G400" s="1"/>
      <c r="H400" s="1"/>
      <c r="I400" s="1"/>
    </row>
    <row r="401" spans="1:9" x14ac:dyDescent="0.25">
      <c r="A401" s="1"/>
      <c r="B401" s="1"/>
      <c r="C401" s="1"/>
      <c r="D401" s="1"/>
      <c r="E401" s="1"/>
      <c r="F401" s="1"/>
      <c r="G401" s="1"/>
      <c r="H401" s="1"/>
      <c r="I401" s="1"/>
    </row>
    <row r="402" spans="1:9" x14ac:dyDescent="0.25">
      <c r="A402" s="1"/>
      <c r="B402" s="1"/>
      <c r="C402" s="1"/>
      <c r="D402" s="1"/>
      <c r="E402" s="1"/>
      <c r="F402" s="1"/>
      <c r="G402" s="1"/>
      <c r="H402" s="1"/>
      <c r="I402" s="1"/>
    </row>
    <row r="403" spans="1:9" x14ac:dyDescent="0.25">
      <c r="A403" s="1"/>
      <c r="B403" s="1"/>
      <c r="C403" s="1"/>
      <c r="D403" s="1"/>
      <c r="E403" s="1"/>
      <c r="F403" s="1"/>
      <c r="G403" s="1"/>
      <c r="H403" s="1"/>
      <c r="I403" s="1"/>
    </row>
    <row r="404" spans="1:9" x14ac:dyDescent="0.25">
      <c r="A404" s="1"/>
      <c r="B404" s="1"/>
      <c r="C404" s="1"/>
      <c r="D404" s="1"/>
      <c r="E404" s="1"/>
      <c r="F404" s="1"/>
      <c r="G404" s="1"/>
      <c r="H404" s="1"/>
      <c r="I404" s="1"/>
    </row>
    <row r="405" spans="1:9" x14ac:dyDescent="0.25">
      <c r="A405" s="1"/>
      <c r="B405" s="1"/>
      <c r="C405" s="1"/>
      <c r="D405" s="1"/>
      <c r="E405" s="1"/>
      <c r="F405" s="1"/>
      <c r="G405" s="1"/>
      <c r="H405" s="1"/>
      <c r="I405" s="1"/>
    </row>
    <row r="406" spans="1:9" x14ac:dyDescent="0.25">
      <c r="A406" s="1"/>
      <c r="B406" s="1"/>
      <c r="C406" s="1"/>
      <c r="D406" s="1"/>
      <c r="E406" s="1"/>
      <c r="F406" s="1"/>
      <c r="G406" s="1"/>
      <c r="H406" s="1"/>
      <c r="I406" s="1"/>
    </row>
    <row r="407" spans="1:9" x14ac:dyDescent="0.25">
      <c r="A407" s="1"/>
      <c r="B407" s="1"/>
      <c r="C407" s="1"/>
      <c r="D407" s="1"/>
      <c r="E407" s="1"/>
      <c r="F407" s="1"/>
      <c r="G407" s="1"/>
      <c r="H407" s="1"/>
      <c r="I407" s="1"/>
    </row>
    <row r="408" spans="1:9" x14ac:dyDescent="0.25">
      <c r="A408" s="1"/>
      <c r="B408" s="1"/>
      <c r="C408" s="1"/>
      <c r="D408" s="1"/>
      <c r="E408" s="1"/>
      <c r="F408" s="1"/>
      <c r="G408" s="1"/>
      <c r="H408" s="1"/>
      <c r="I408" s="1"/>
    </row>
    <row r="409" spans="1:9" x14ac:dyDescent="0.25">
      <c r="A409" s="1"/>
      <c r="B409" s="1"/>
      <c r="C409" s="1"/>
      <c r="D409" s="1"/>
      <c r="E409" s="1"/>
      <c r="F409" s="1"/>
      <c r="G409" s="1"/>
      <c r="H409" s="1"/>
      <c r="I409" s="1"/>
    </row>
    <row r="410" spans="1:9" x14ac:dyDescent="0.25">
      <c r="A410" s="1"/>
      <c r="B410" s="1"/>
      <c r="C410" s="1"/>
      <c r="D410" s="1"/>
      <c r="E410" s="1"/>
      <c r="F410" s="1"/>
      <c r="G410" s="1"/>
      <c r="H410" s="1"/>
      <c r="I410" s="1"/>
    </row>
    <row r="411" spans="1:9" x14ac:dyDescent="0.25">
      <c r="A411" s="1"/>
      <c r="B411" s="1"/>
      <c r="C411" s="1"/>
      <c r="D411" s="1"/>
      <c r="E411" s="1"/>
      <c r="F411" s="1"/>
      <c r="G411" s="1"/>
      <c r="H411" s="1"/>
      <c r="I411" s="1"/>
    </row>
    <row r="412" spans="1:9" x14ac:dyDescent="0.25">
      <c r="A412" s="1"/>
      <c r="B412" s="1"/>
      <c r="C412" s="1"/>
      <c r="D412" s="1"/>
      <c r="E412" s="1"/>
      <c r="F412" s="1"/>
      <c r="G412" s="1"/>
      <c r="H412" s="1"/>
      <c r="I412" s="1"/>
    </row>
    <row r="413" spans="1:9" x14ac:dyDescent="0.25">
      <c r="A413" s="1"/>
      <c r="B413" s="1"/>
      <c r="C413" s="1"/>
      <c r="D413" s="1"/>
      <c r="E413" s="1"/>
      <c r="F413" s="1"/>
      <c r="G413" s="1"/>
      <c r="H413" s="1"/>
      <c r="I413" s="1"/>
    </row>
    <row r="414" spans="1:9" x14ac:dyDescent="0.25">
      <c r="A414" s="1"/>
      <c r="B414" s="1"/>
      <c r="C414" s="1"/>
      <c r="D414" s="1"/>
      <c r="E414" s="1"/>
      <c r="F414" s="1"/>
      <c r="G414" s="1"/>
      <c r="H414" s="1"/>
      <c r="I414" s="1"/>
    </row>
    <row r="415" spans="1:9" x14ac:dyDescent="0.25">
      <c r="A415" s="1"/>
      <c r="B415" s="1"/>
      <c r="C415" s="1"/>
      <c r="D415" s="1"/>
      <c r="E415" s="1"/>
      <c r="F415" s="1"/>
      <c r="G415" s="1"/>
      <c r="H415" s="1"/>
      <c r="I415" s="1"/>
    </row>
    <row r="416" spans="1:9" x14ac:dyDescent="0.25">
      <c r="A416" s="1"/>
      <c r="B416" s="1"/>
      <c r="C416" s="1"/>
      <c r="D416" s="1"/>
      <c r="E416" s="1"/>
      <c r="F416" s="1"/>
      <c r="G416" s="1"/>
      <c r="H416" s="1"/>
      <c r="I416" s="1"/>
    </row>
    <row r="417" spans="1:9" x14ac:dyDescent="0.25">
      <c r="A417" s="1"/>
      <c r="B417" s="1"/>
      <c r="C417" s="1"/>
      <c r="D417" s="1"/>
      <c r="E417" s="1"/>
      <c r="F417" s="1"/>
      <c r="G417" s="1"/>
      <c r="H417" s="1"/>
      <c r="I417" s="1"/>
    </row>
    <row r="418" spans="1:9" x14ac:dyDescent="0.25">
      <c r="A418" s="1"/>
      <c r="B418" s="1"/>
      <c r="C418" s="1"/>
      <c r="D418" s="1"/>
      <c r="E418" s="1"/>
      <c r="F418" s="1"/>
      <c r="G418" s="1"/>
      <c r="H418" s="1"/>
      <c r="I418" s="1"/>
    </row>
    <row r="419" spans="1:9" x14ac:dyDescent="0.25">
      <c r="A419" s="1"/>
      <c r="B419" s="1"/>
      <c r="C419" s="1"/>
      <c r="D419" s="1"/>
      <c r="E419" s="1"/>
      <c r="F419" s="1"/>
      <c r="G419" s="1"/>
      <c r="H419" s="1"/>
      <c r="I419" s="1"/>
    </row>
    <row r="420" spans="1:9" x14ac:dyDescent="0.25">
      <c r="A420" s="1"/>
      <c r="B420" s="1"/>
      <c r="C420" s="1"/>
      <c r="D420" s="1"/>
      <c r="E420" s="1"/>
      <c r="F420" s="1"/>
      <c r="G420" s="1"/>
      <c r="H420" s="1"/>
      <c r="I420" s="1"/>
    </row>
    <row r="421" spans="1:9" x14ac:dyDescent="0.25">
      <c r="A421" s="1"/>
      <c r="B421" s="1"/>
      <c r="C421" s="1"/>
      <c r="D421" s="1"/>
      <c r="E421" s="1"/>
      <c r="F421" s="1"/>
      <c r="G421" s="1"/>
      <c r="H421" s="1"/>
      <c r="I421" s="1"/>
    </row>
    <row r="422" spans="1:9" x14ac:dyDescent="0.25">
      <c r="A422" s="1"/>
      <c r="B422" s="1"/>
      <c r="C422" s="1"/>
      <c r="D422" s="1"/>
      <c r="E422" s="1"/>
      <c r="F422" s="1"/>
      <c r="G422" s="1"/>
      <c r="H422" s="1"/>
      <c r="I422" s="1"/>
    </row>
    <row r="423" spans="1:9" x14ac:dyDescent="0.25">
      <c r="A423" s="1"/>
      <c r="B423" s="1"/>
      <c r="C423" s="1"/>
      <c r="D423" s="1"/>
      <c r="E423" s="1"/>
      <c r="F423" s="1"/>
      <c r="G423" s="1"/>
      <c r="H423" s="1"/>
      <c r="I423" s="1"/>
    </row>
    <row r="424" spans="1:9" x14ac:dyDescent="0.25">
      <c r="A424" s="1"/>
      <c r="B424" s="1"/>
      <c r="C424" s="1"/>
      <c r="D424" s="1"/>
      <c r="E424" s="1"/>
      <c r="F424" s="1"/>
      <c r="G424" s="1"/>
      <c r="H424" s="1"/>
      <c r="I424" s="1"/>
    </row>
    <row r="425" spans="1:9" x14ac:dyDescent="0.25">
      <c r="A425" s="1"/>
      <c r="B425" s="1"/>
      <c r="C425" s="1"/>
      <c r="D425" s="1"/>
      <c r="E425" s="1"/>
      <c r="F425" s="1"/>
      <c r="G425" s="1"/>
      <c r="H425" s="1"/>
      <c r="I425" s="1"/>
    </row>
    <row r="426" spans="1:9" x14ac:dyDescent="0.25">
      <c r="A426" s="1"/>
      <c r="B426" s="1"/>
      <c r="C426" s="1"/>
      <c r="D426" s="1"/>
      <c r="E426" s="1"/>
      <c r="F426" s="1"/>
      <c r="G426" s="1"/>
      <c r="H426" s="1"/>
      <c r="I426" s="1"/>
    </row>
    <row r="427" spans="1:9" x14ac:dyDescent="0.25">
      <c r="A427" s="1"/>
      <c r="B427" s="1"/>
      <c r="C427" s="1"/>
      <c r="D427" s="1"/>
      <c r="E427" s="1"/>
      <c r="F427" s="1"/>
      <c r="G427" s="1"/>
      <c r="H427" s="1"/>
      <c r="I427" s="1"/>
    </row>
    <row r="428" spans="1:9" x14ac:dyDescent="0.25">
      <c r="A428" s="1"/>
      <c r="B428" s="1"/>
      <c r="C428" s="1"/>
      <c r="D428" s="1"/>
      <c r="E428" s="1"/>
      <c r="F428" s="1"/>
      <c r="G428" s="1"/>
      <c r="H428" s="1"/>
      <c r="I428" s="1"/>
    </row>
    <row r="429" spans="1:9" x14ac:dyDescent="0.25">
      <c r="A429" s="1"/>
      <c r="B429" s="1"/>
      <c r="C429" s="1"/>
      <c r="D429" s="1"/>
      <c r="E429" s="1"/>
      <c r="F429" s="1"/>
      <c r="G429" s="1"/>
      <c r="H429" s="1"/>
      <c r="I429" s="1"/>
    </row>
    <row r="430" spans="1:9" x14ac:dyDescent="0.25">
      <c r="A430" s="1"/>
      <c r="B430" s="1"/>
      <c r="C430" s="1"/>
      <c r="D430" s="1"/>
      <c r="E430" s="1"/>
      <c r="F430" s="1"/>
      <c r="G430" s="1"/>
      <c r="H430" s="1"/>
      <c r="I430" s="1"/>
    </row>
    <row r="431" spans="1:9" x14ac:dyDescent="0.25">
      <c r="A431" s="1"/>
      <c r="B431" s="1"/>
      <c r="C431" s="1"/>
      <c r="D431" s="1"/>
      <c r="E431" s="1"/>
      <c r="F431" s="1"/>
      <c r="G431" s="1"/>
      <c r="H431" s="1"/>
      <c r="I431" s="1"/>
    </row>
    <row r="432" spans="1:9" x14ac:dyDescent="0.25">
      <c r="A432" s="1"/>
      <c r="B432" s="1"/>
      <c r="C432" s="1"/>
      <c r="D432" s="1"/>
      <c r="E432" s="1"/>
      <c r="F432" s="1"/>
      <c r="G432" s="1"/>
      <c r="H432" s="1"/>
      <c r="I432" s="1"/>
    </row>
    <row r="433" spans="1:9" x14ac:dyDescent="0.25">
      <c r="A433" s="1"/>
      <c r="B433" s="1"/>
      <c r="C433" s="1"/>
      <c r="D433" s="1"/>
      <c r="E433" s="1"/>
      <c r="F433" s="1"/>
      <c r="G433" s="1"/>
      <c r="H433" s="1"/>
      <c r="I433" s="1"/>
    </row>
    <row r="434" spans="1:9" x14ac:dyDescent="0.25">
      <c r="A434" s="1"/>
      <c r="B434" s="1"/>
      <c r="C434" s="1"/>
      <c r="D434" s="1"/>
      <c r="E434" s="1"/>
      <c r="F434" s="1"/>
      <c r="G434" s="1"/>
      <c r="H434" s="1"/>
      <c r="I434" s="1"/>
    </row>
    <row r="435" spans="1:9" x14ac:dyDescent="0.25">
      <c r="A435" s="1"/>
      <c r="B435" s="1"/>
      <c r="C435" s="1"/>
      <c r="D435" s="1"/>
      <c r="E435" s="1"/>
      <c r="F435" s="1"/>
      <c r="G435" s="1"/>
      <c r="H435" s="1"/>
      <c r="I435" s="1"/>
    </row>
  </sheetData>
  <autoFilter ref="A11:I31" xr:uid="{5020ED9A-0531-42E6-A39D-B7532097E2FD}">
    <filterColumn colId="3">
      <filters>
        <filter val="105294"/>
        <filter val="11848"/>
        <filter val="18475"/>
        <filter val="18544"/>
        <filter val="18583"/>
        <filter val="18584"/>
        <filter val="18763"/>
        <filter val="18854"/>
        <filter val="18929"/>
        <filter val="19365"/>
        <filter val="31187"/>
        <filter val="37674"/>
        <filter val="37782"/>
        <filter val="39942"/>
        <filter val="40063"/>
        <filter val="62709"/>
        <filter val="68660"/>
      </filters>
    </filterColumn>
    <filterColumn colId="8">
      <customFilters>
        <customFilter operator="notEqual" val=" "/>
      </customFilters>
    </filterColumn>
    <sortState xmlns:xlrd2="http://schemas.microsoft.com/office/spreadsheetml/2017/richdata2" ref="A12:I31">
      <sortCondition descending="1" ref="D11:D31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0B4C7-B185-4BFE-BC1E-5B153071DD28}">
  <dimension ref="A1:B330"/>
  <sheetViews>
    <sheetView showGridLines="0" topLeftCell="B1" zoomScale="118" workbookViewId="0">
      <selection activeCell="C1" sqref="C1:C2"/>
    </sheetView>
  </sheetViews>
  <sheetFormatPr defaultRowHeight="15" x14ac:dyDescent="0.25"/>
  <cols>
    <col min="1" max="1" width="46" hidden="1" customWidth="1"/>
    <col min="2" max="2" width="186" customWidth="1"/>
    <col min="3" max="3" width="177.140625" customWidth="1"/>
    <col min="4" max="4" width="21.140625" customWidth="1"/>
  </cols>
  <sheetData>
    <row r="1" spans="2:2" x14ac:dyDescent="0.25">
      <c r="B1" s="23" t="s">
        <v>680</v>
      </c>
    </row>
    <row r="2" spans="2:2" x14ac:dyDescent="0.25">
      <c r="B2" s="24" t="s">
        <v>682</v>
      </c>
    </row>
    <row r="3" spans="2:2" x14ac:dyDescent="0.25">
      <c r="B3" s="22"/>
    </row>
    <row r="4" spans="2:2" x14ac:dyDescent="0.25">
      <c r="B4" s="22"/>
    </row>
    <row r="5" spans="2:2" x14ac:dyDescent="0.25">
      <c r="B5" s="22"/>
    </row>
    <row r="6" spans="2:2" x14ac:dyDescent="0.25">
      <c r="B6" s="22"/>
    </row>
    <row r="7" spans="2:2" x14ac:dyDescent="0.25">
      <c r="B7" s="22"/>
    </row>
    <row r="8" spans="2:2" x14ac:dyDescent="0.25">
      <c r="B8" s="22"/>
    </row>
    <row r="9" spans="2:2" x14ac:dyDescent="0.25">
      <c r="B9" s="25" t="s">
        <v>681</v>
      </c>
    </row>
    <row r="10" spans="2:2" x14ac:dyDescent="0.25">
      <c r="B10" s="22"/>
    </row>
    <row r="11" spans="2:2" x14ac:dyDescent="0.25">
      <c r="B11" s="21"/>
    </row>
    <row r="12" spans="2:2" x14ac:dyDescent="0.25">
      <c r="B12" s="22"/>
    </row>
    <row r="13" spans="2:2" x14ac:dyDescent="0.25">
      <c r="B13" s="22"/>
    </row>
    <row r="14" spans="2:2" x14ac:dyDescent="0.25">
      <c r="B14" s="22"/>
    </row>
    <row r="15" spans="2:2" x14ac:dyDescent="0.25">
      <c r="B15" s="22"/>
    </row>
    <row r="16" spans="2:2" x14ac:dyDescent="0.25">
      <c r="B16" s="26" t="s">
        <v>683</v>
      </c>
    </row>
    <row r="17" spans="2:2" x14ac:dyDescent="0.25">
      <c r="B17" s="22"/>
    </row>
    <row r="18" spans="2:2" x14ac:dyDescent="0.25">
      <c r="B18" s="22"/>
    </row>
    <row r="19" spans="2:2" x14ac:dyDescent="0.25">
      <c r="B19" s="22"/>
    </row>
    <row r="20" spans="2:2" x14ac:dyDescent="0.25">
      <c r="B20" s="22"/>
    </row>
    <row r="21" spans="2:2" x14ac:dyDescent="0.25">
      <c r="B21" s="22"/>
    </row>
    <row r="22" spans="2:2" x14ac:dyDescent="0.25">
      <c r="B22" s="22"/>
    </row>
    <row r="23" spans="2:2" x14ac:dyDescent="0.25">
      <c r="B23" s="22"/>
    </row>
    <row r="24" spans="2:2" x14ac:dyDescent="0.25">
      <c r="B24" s="22"/>
    </row>
    <row r="25" spans="2:2" x14ac:dyDescent="0.25">
      <c r="B25" s="22"/>
    </row>
    <row r="26" spans="2:2" x14ac:dyDescent="0.25">
      <c r="B26" s="22"/>
    </row>
    <row r="27" spans="2:2" x14ac:dyDescent="0.25">
      <c r="B27" s="22"/>
    </row>
    <row r="28" spans="2:2" x14ac:dyDescent="0.25">
      <c r="B28" s="22"/>
    </row>
    <row r="29" spans="2:2" x14ac:dyDescent="0.25">
      <c r="B29" s="22"/>
    </row>
    <row r="30" spans="2:2" x14ac:dyDescent="0.25">
      <c r="B30" s="22"/>
    </row>
    <row r="31" spans="2:2" x14ac:dyDescent="0.25">
      <c r="B31" s="22"/>
    </row>
    <row r="32" spans="2:2" x14ac:dyDescent="0.25">
      <c r="B32" s="22"/>
    </row>
    <row r="33" spans="2:2" x14ac:dyDescent="0.25">
      <c r="B33" s="27" t="s">
        <v>684</v>
      </c>
    </row>
    <row r="34" spans="2:2" x14ac:dyDescent="0.25">
      <c r="B34" s="22"/>
    </row>
    <row r="35" spans="2:2" x14ac:dyDescent="0.25">
      <c r="B35" s="22"/>
    </row>
    <row r="36" spans="2:2" x14ac:dyDescent="0.25">
      <c r="B36" s="22"/>
    </row>
    <row r="37" spans="2:2" x14ac:dyDescent="0.25">
      <c r="B37" s="22"/>
    </row>
    <row r="38" spans="2:2" x14ac:dyDescent="0.25">
      <c r="B38" s="22"/>
    </row>
    <row r="39" spans="2:2" x14ac:dyDescent="0.25">
      <c r="B39" s="22"/>
    </row>
    <row r="40" spans="2:2" x14ac:dyDescent="0.25">
      <c r="B40" s="22"/>
    </row>
    <row r="41" spans="2:2" x14ac:dyDescent="0.25">
      <c r="B41" s="22"/>
    </row>
    <row r="42" spans="2:2" x14ac:dyDescent="0.25">
      <c r="B42" s="22"/>
    </row>
    <row r="43" spans="2:2" x14ac:dyDescent="0.25">
      <c r="B43" s="22"/>
    </row>
    <row r="44" spans="2:2" x14ac:dyDescent="0.25">
      <c r="B44" s="22"/>
    </row>
    <row r="45" spans="2:2" x14ac:dyDescent="0.25">
      <c r="B45" s="22"/>
    </row>
    <row r="46" spans="2:2" x14ac:dyDescent="0.25">
      <c r="B46" s="22"/>
    </row>
    <row r="47" spans="2:2" x14ac:dyDescent="0.25">
      <c r="B47" s="22"/>
    </row>
    <row r="48" spans="2:2" x14ac:dyDescent="0.25">
      <c r="B48" s="22"/>
    </row>
    <row r="49" spans="2:2" x14ac:dyDescent="0.25">
      <c r="B49" s="27" t="s">
        <v>685</v>
      </c>
    </row>
    <row r="50" spans="2:2" x14ac:dyDescent="0.25">
      <c r="B50" s="22"/>
    </row>
    <row r="51" spans="2:2" x14ac:dyDescent="0.25">
      <c r="B51" s="22"/>
    </row>
    <row r="52" spans="2:2" x14ac:dyDescent="0.25">
      <c r="B52" s="22"/>
    </row>
    <row r="53" spans="2:2" x14ac:dyDescent="0.25">
      <c r="B53" s="22"/>
    </row>
    <row r="54" spans="2:2" x14ac:dyDescent="0.25">
      <c r="B54" s="22"/>
    </row>
    <row r="55" spans="2:2" x14ac:dyDescent="0.25">
      <c r="B55" s="22"/>
    </row>
    <row r="56" spans="2:2" x14ac:dyDescent="0.25">
      <c r="B56" s="22"/>
    </row>
    <row r="57" spans="2:2" x14ac:dyDescent="0.25">
      <c r="B57" s="22"/>
    </row>
    <row r="58" spans="2:2" x14ac:dyDescent="0.25">
      <c r="B58" s="22"/>
    </row>
    <row r="59" spans="2:2" x14ac:dyDescent="0.25">
      <c r="B59" s="22"/>
    </row>
    <row r="60" spans="2:2" x14ac:dyDescent="0.25">
      <c r="B60" s="22"/>
    </row>
    <row r="61" spans="2:2" x14ac:dyDescent="0.25">
      <c r="B61" s="22"/>
    </row>
    <row r="62" spans="2:2" x14ac:dyDescent="0.25">
      <c r="B62" s="22"/>
    </row>
    <row r="63" spans="2:2" x14ac:dyDescent="0.25">
      <c r="B63" s="22"/>
    </row>
    <row r="64" spans="2:2" x14ac:dyDescent="0.25">
      <c r="B64" s="22"/>
    </row>
    <row r="65" spans="2:2" x14ac:dyDescent="0.25">
      <c r="B65" s="22"/>
    </row>
    <row r="66" spans="2:2" x14ac:dyDescent="0.25">
      <c r="B66" s="22"/>
    </row>
    <row r="67" spans="2:2" x14ac:dyDescent="0.25">
      <c r="B67" s="22"/>
    </row>
    <row r="68" spans="2:2" x14ac:dyDescent="0.25">
      <c r="B68" s="22"/>
    </row>
    <row r="69" spans="2:2" x14ac:dyDescent="0.25">
      <c r="B69" s="22"/>
    </row>
    <row r="70" spans="2:2" x14ac:dyDescent="0.25">
      <c r="B70" s="22"/>
    </row>
    <row r="71" spans="2:2" x14ac:dyDescent="0.25">
      <c r="B71" s="22"/>
    </row>
    <row r="72" spans="2:2" x14ac:dyDescent="0.25">
      <c r="B72" s="27" t="s">
        <v>686</v>
      </c>
    </row>
    <row r="73" spans="2:2" x14ac:dyDescent="0.25">
      <c r="B73" s="22"/>
    </row>
    <row r="74" spans="2:2" x14ac:dyDescent="0.25">
      <c r="B74" s="22"/>
    </row>
    <row r="75" spans="2:2" x14ac:dyDescent="0.25">
      <c r="B75" s="22"/>
    </row>
    <row r="76" spans="2:2" x14ac:dyDescent="0.25">
      <c r="B76" s="22"/>
    </row>
    <row r="77" spans="2:2" x14ac:dyDescent="0.25">
      <c r="B77" s="22"/>
    </row>
    <row r="78" spans="2:2" x14ac:dyDescent="0.25">
      <c r="B78" s="22"/>
    </row>
    <row r="79" spans="2:2" x14ac:dyDescent="0.25">
      <c r="B79" s="22"/>
    </row>
    <row r="80" spans="2:2" x14ac:dyDescent="0.25">
      <c r="B80" s="22"/>
    </row>
    <row r="81" spans="2:2" x14ac:dyDescent="0.25">
      <c r="B81" s="22"/>
    </row>
    <row r="82" spans="2:2" x14ac:dyDescent="0.25">
      <c r="B82" s="22"/>
    </row>
    <row r="83" spans="2:2" x14ac:dyDescent="0.25">
      <c r="B83" s="22"/>
    </row>
    <row r="84" spans="2:2" x14ac:dyDescent="0.25">
      <c r="B84" s="22"/>
    </row>
    <row r="85" spans="2:2" x14ac:dyDescent="0.25">
      <c r="B85" s="22"/>
    </row>
    <row r="86" spans="2:2" x14ac:dyDescent="0.25">
      <c r="B86" s="22"/>
    </row>
    <row r="87" spans="2:2" x14ac:dyDescent="0.25">
      <c r="B87" s="22"/>
    </row>
    <row r="88" spans="2:2" x14ac:dyDescent="0.25">
      <c r="B88" s="22"/>
    </row>
    <row r="89" spans="2:2" x14ac:dyDescent="0.25">
      <c r="B89" s="22"/>
    </row>
    <row r="90" spans="2:2" x14ac:dyDescent="0.25">
      <c r="B90" s="22"/>
    </row>
    <row r="91" spans="2:2" x14ac:dyDescent="0.25">
      <c r="B91" s="22"/>
    </row>
    <row r="92" spans="2:2" x14ac:dyDescent="0.25">
      <c r="B92" s="22"/>
    </row>
    <row r="93" spans="2:2" x14ac:dyDescent="0.25">
      <c r="B93" s="22"/>
    </row>
    <row r="94" spans="2:2" x14ac:dyDescent="0.25">
      <c r="B94" s="22"/>
    </row>
    <row r="95" spans="2:2" x14ac:dyDescent="0.25">
      <c r="B95" s="27" t="s">
        <v>687</v>
      </c>
    </row>
    <row r="96" spans="2:2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7" t="s">
        <v>688</v>
      </c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7" t="s">
        <v>689</v>
      </c>
    </row>
    <row r="116" spans="2:2" x14ac:dyDescent="0.25">
      <c r="B116" s="22"/>
    </row>
    <row r="117" spans="2:2" x14ac:dyDescent="0.25">
      <c r="B117" s="22"/>
    </row>
    <row r="118" spans="2:2" x14ac:dyDescent="0.25">
      <c r="B118" s="22"/>
    </row>
    <row r="119" spans="2:2" x14ac:dyDescent="0.25">
      <c r="B119" s="22"/>
    </row>
    <row r="120" spans="2:2" x14ac:dyDescent="0.25">
      <c r="B120" s="22"/>
    </row>
    <row r="121" spans="2:2" x14ac:dyDescent="0.25">
      <c r="B121" s="22"/>
    </row>
    <row r="122" spans="2:2" x14ac:dyDescent="0.25">
      <c r="B122" s="22"/>
    </row>
    <row r="123" spans="2:2" x14ac:dyDescent="0.25">
      <c r="B123" s="22"/>
    </row>
    <row r="124" spans="2:2" x14ac:dyDescent="0.25">
      <c r="B124" s="22"/>
    </row>
    <row r="125" spans="2:2" x14ac:dyDescent="0.25">
      <c r="B125" s="22"/>
    </row>
    <row r="126" spans="2:2" x14ac:dyDescent="0.25">
      <c r="B126" s="22"/>
    </row>
    <row r="127" spans="2:2" x14ac:dyDescent="0.25">
      <c r="B127" s="22"/>
    </row>
    <row r="128" spans="2:2" x14ac:dyDescent="0.25">
      <c r="B128" s="22"/>
    </row>
    <row r="129" spans="2:2" x14ac:dyDescent="0.25">
      <c r="B129" s="22"/>
    </row>
    <row r="130" spans="2:2" x14ac:dyDescent="0.25">
      <c r="B130" s="27" t="s">
        <v>690</v>
      </c>
    </row>
    <row r="131" spans="2:2" x14ac:dyDescent="0.25">
      <c r="B131" s="22"/>
    </row>
    <row r="132" spans="2:2" x14ac:dyDescent="0.25">
      <c r="B132" s="22"/>
    </row>
    <row r="133" spans="2:2" x14ac:dyDescent="0.25">
      <c r="B133" s="22"/>
    </row>
    <row r="134" spans="2:2" x14ac:dyDescent="0.25">
      <c r="B134" s="22"/>
    </row>
    <row r="135" spans="2:2" x14ac:dyDescent="0.25">
      <c r="B135" s="22"/>
    </row>
    <row r="136" spans="2:2" x14ac:dyDescent="0.25">
      <c r="B136" s="22"/>
    </row>
    <row r="137" spans="2:2" x14ac:dyDescent="0.25">
      <c r="B137" s="22"/>
    </row>
    <row r="138" spans="2:2" x14ac:dyDescent="0.25">
      <c r="B138" s="22"/>
    </row>
    <row r="139" spans="2:2" x14ac:dyDescent="0.25">
      <c r="B139" s="22"/>
    </row>
    <row r="140" spans="2:2" x14ac:dyDescent="0.25">
      <c r="B140" s="22"/>
    </row>
    <row r="141" spans="2:2" x14ac:dyDescent="0.25">
      <c r="B141" s="22"/>
    </row>
    <row r="142" spans="2:2" x14ac:dyDescent="0.25">
      <c r="B142" s="22"/>
    </row>
    <row r="143" spans="2:2" x14ac:dyDescent="0.25">
      <c r="B143" s="22"/>
    </row>
    <row r="144" spans="2:2" x14ac:dyDescent="0.25">
      <c r="B144" s="22"/>
    </row>
    <row r="145" spans="2:2" x14ac:dyDescent="0.25">
      <c r="B145" s="22"/>
    </row>
    <row r="146" spans="2:2" x14ac:dyDescent="0.25">
      <c r="B146" s="22"/>
    </row>
    <row r="147" spans="2:2" x14ac:dyDescent="0.25">
      <c r="B147" s="22"/>
    </row>
    <row r="148" spans="2:2" x14ac:dyDescent="0.25">
      <c r="B148" s="22"/>
    </row>
    <row r="149" spans="2:2" x14ac:dyDescent="0.25">
      <c r="B149" s="22"/>
    </row>
    <row r="150" spans="2:2" x14ac:dyDescent="0.25">
      <c r="B150" s="22"/>
    </row>
    <row r="151" spans="2:2" x14ac:dyDescent="0.25">
      <c r="B151" s="22"/>
    </row>
    <row r="152" spans="2:2" x14ac:dyDescent="0.25">
      <c r="B152" s="22"/>
    </row>
    <row r="153" spans="2:2" x14ac:dyDescent="0.25">
      <c r="B153" s="22"/>
    </row>
    <row r="154" spans="2:2" x14ac:dyDescent="0.25">
      <c r="B154" s="22"/>
    </row>
    <row r="155" spans="2:2" x14ac:dyDescent="0.25">
      <c r="B155" s="22"/>
    </row>
    <row r="156" spans="2:2" x14ac:dyDescent="0.25">
      <c r="B156" s="22"/>
    </row>
    <row r="157" spans="2:2" x14ac:dyDescent="0.25">
      <c r="B157" s="22"/>
    </row>
    <row r="158" spans="2:2" x14ac:dyDescent="0.25">
      <c r="B158" s="22"/>
    </row>
    <row r="159" spans="2:2" x14ac:dyDescent="0.25">
      <c r="B159" s="22"/>
    </row>
    <row r="160" spans="2:2" x14ac:dyDescent="0.25">
      <c r="B160" s="22"/>
    </row>
    <row r="161" spans="2:2" x14ac:dyDescent="0.25">
      <c r="B161" s="22"/>
    </row>
    <row r="162" spans="2:2" x14ac:dyDescent="0.25">
      <c r="B162" s="22"/>
    </row>
    <row r="163" spans="2:2" x14ac:dyDescent="0.25">
      <c r="B163" s="22"/>
    </row>
    <row r="164" spans="2:2" x14ac:dyDescent="0.25">
      <c r="B164" s="22"/>
    </row>
    <row r="165" spans="2:2" x14ac:dyDescent="0.25">
      <c r="B165" s="22"/>
    </row>
    <row r="166" spans="2:2" x14ac:dyDescent="0.25">
      <c r="B166" s="22"/>
    </row>
    <row r="167" spans="2:2" x14ac:dyDescent="0.25">
      <c r="B167" s="22"/>
    </row>
    <row r="168" spans="2:2" x14ac:dyDescent="0.25">
      <c r="B168" s="22"/>
    </row>
    <row r="169" spans="2:2" x14ac:dyDescent="0.25">
      <c r="B169" s="22"/>
    </row>
    <row r="170" spans="2:2" x14ac:dyDescent="0.25">
      <c r="B170" s="22"/>
    </row>
    <row r="171" spans="2:2" x14ac:dyDescent="0.25">
      <c r="B171" s="22"/>
    </row>
    <row r="172" spans="2:2" x14ac:dyDescent="0.25">
      <c r="B172" s="22"/>
    </row>
    <row r="173" spans="2:2" x14ac:dyDescent="0.25">
      <c r="B173" s="22"/>
    </row>
    <row r="174" spans="2:2" x14ac:dyDescent="0.25">
      <c r="B174" s="22"/>
    </row>
    <row r="175" spans="2:2" x14ac:dyDescent="0.25">
      <c r="B175" s="22"/>
    </row>
    <row r="176" spans="2:2" x14ac:dyDescent="0.25">
      <c r="B176" s="22"/>
    </row>
    <row r="177" spans="2:2" x14ac:dyDescent="0.25">
      <c r="B177" s="22"/>
    </row>
    <row r="178" spans="2:2" x14ac:dyDescent="0.25">
      <c r="B178" s="22"/>
    </row>
    <row r="179" spans="2:2" x14ac:dyDescent="0.25">
      <c r="B179" s="22"/>
    </row>
    <row r="180" spans="2:2" x14ac:dyDescent="0.25">
      <c r="B180" s="22"/>
    </row>
    <row r="181" spans="2:2" x14ac:dyDescent="0.25">
      <c r="B181" s="22"/>
    </row>
    <row r="182" spans="2:2" x14ac:dyDescent="0.25">
      <c r="B182" s="22"/>
    </row>
    <row r="183" spans="2:2" x14ac:dyDescent="0.25">
      <c r="B183" s="22"/>
    </row>
    <row r="184" spans="2:2" x14ac:dyDescent="0.25">
      <c r="B184" s="22"/>
    </row>
    <row r="185" spans="2:2" x14ac:dyDescent="0.25">
      <c r="B185" s="22"/>
    </row>
    <row r="186" spans="2:2" x14ac:dyDescent="0.25">
      <c r="B186" s="22"/>
    </row>
    <row r="187" spans="2:2" x14ac:dyDescent="0.25">
      <c r="B187" s="22"/>
    </row>
    <row r="188" spans="2:2" x14ac:dyDescent="0.25">
      <c r="B188" s="22"/>
    </row>
    <row r="189" spans="2:2" x14ac:dyDescent="0.25">
      <c r="B189" s="22"/>
    </row>
    <row r="190" spans="2:2" x14ac:dyDescent="0.25">
      <c r="B190" s="22"/>
    </row>
    <row r="191" spans="2:2" x14ac:dyDescent="0.25">
      <c r="B191" s="22"/>
    </row>
    <row r="192" spans="2:2" x14ac:dyDescent="0.25">
      <c r="B192" s="22"/>
    </row>
    <row r="193" spans="2:2" x14ac:dyDescent="0.25">
      <c r="B193" s="22"/>
    </row>
    <row r="194" spans="2:2" x14ac:dyDescent="0.25">
      <c r="B194" s="22"/>
    </row>
    <row r="195" spans="2:2" x14ac:dyDescent="0.25">
      <c r="B195" s="22"/>
    </row>
    <row r="196" spans="2:2" x14ac:dyDescent="0.25">
      <c r="B196" s="22"/>
    </row>
    <row r="197" spans="2:2" x14ac:dyDescent="0.25">
      <c r="B197" s="22"/>
    </row>
    <row r="198" spans="2:2" x14ac:dyDescent="0.25">
      <c r="B198" s="22"/>
    </row>
    <row r="199" spans="2:2" x14ac:dyDescent="0.25">
      <c r="B199" s="22"/>
    </row>
    <row r="200" spans="2:2" x14ac:dyDescent="0.25">
      <c r="B200" s="22"/>
    </row>
    <row r="201" spans="2:2" x14ac:dyDescent="0.25">
      <c r="B201" s="22"/>
    </row>
    <row r="202" spans="2:2" x14ac:dyDescent="0.25">
      <c r="B202" s="22"/>
    </row>
    <row r="203" spans="2:2" x14ac:dyDescent="0.25">
      <c r="B203" s="22"/>
    </row>
    <row r="204" spans="2:2" x14ac:dyDescent="0.25">
      <c r="B204" s="22"/>
    </row>
    <row r="205" spans="2:2" x14ac:dyDescent="0.25">
      <c r="B205" s="22"/>
    </row>
    <row r="206" spans="2:2" x14ac:dyDescent="0.25">
      <c r="B206" s="22"/>
    </row>
    <row r="207" spans="2:2" x14ac:dyDescent="0.25">
      <c r="B207" s="22"/>
    </row>
    <row r="208" spans="2:2" x14ac:dyDescent="0.25">
      <c r="B208" s="22"/>
    </row>
    <row r="209" spans="2:2" x14ac:dyDescent="0.25">
      <c r="B209" s="22"/>
    </row>
    <row r="210" spans="2:2" x14ac:dyDescent="0.25">
      <c r="B210" s="22"/>
    </row>
    <row r="211" spans="2:2" x14ac:dyDescent="0.25">
      <c r="B211" s="22"/>
    </row>
    <row r="212" spans="2:2" x14ac:dyDescent="0.25">
      <c r="B212" s="22"/>
    </row>
    <row r="213" spans="2:2" x14ac:dyDescent="0.25">
      <c r="B213" s="22"/>
    </row>
    <row r="214" spans="2:2" x14ac:dyDescent="0.25">
      <c r="B214" s="22"/>
    </row>
    <row r="215" spans="2:2" x14ac:dyDescent="0.25">
      <c r="B215" s="22"/>
    </row>
    <row r="216" spans="2:2" x14ac:dyDescent="0.25">
      <c r="B216" s="22"/>
    </row>
    <row r="217" spans="2:2" x14ac:dyDescent="0.25">
      <c r="B217" s="22"/>
    </row>
    <row r="218" spans="2:2" x14ac:dyDescent="0.25">
      <c r="B218" s="22"/>
    </row>
    <row r="219" spans="2:2" x14ac:dyDescent="0.25">
      <c r="B219" s="22"/>
    </row>
    <row r="220" spans="2:2" x14ac:dyDescent="0.25">
      <c r="B220" s="22"/>
    </row>
    <row r="221" spans="2:2" x14ac:dyDescent="0.25">
      <c r="B221" s="22"/>
    </row>
    <row r="222" spans="2:2" x14ac:dyDescent="0.25">
      <c r="B222" s="22"/>
    </row>
    <row r="223" spans="2:2" x14ac:dyDescent="0.25">
      <c r="B223" s="22"/>
    </row>
    <row r="224" spans="2:2" x14ac:dyDescent="0.25">
      <c r="B224" s="22"/>
    </row>
    <row r="225" spans="2:2" x14ac:dyDescent="0.25">
      <c r="B225" s="22"/>
    </row>
    <row r="226" spans="2:2" x14ac:dyDescent="0.25">
      <c r="B226" s="22"/>
    </row>
    <row r="227" spans="2:2" x14ac:dyDescent="0.25">
      <c r="B227" s="22"/>
    </row>
    <row r="228" spans="2:2" x14ac:dyDescent="0.25">
      <c r="B228" s="22"/>
    </row>
    <row r="229" spans="2:2" x14ac:dyDescent="0.25">
      <c r="B229" s="22"/>
    </row>
    <row r="230" spans="2:2" x14ac:dyDescent="0.25">
      <c r="B230" s="22"/>
    </row>
    <row r="231" spans="2:2" x14ac:dyDescent="0.25">
      <c r="B231" s="22"/>
    </row>
    <row r="232" spans="2:2" x14ac:dyDescent="0.25">
      <c r="B232" s="22"/>
    </row>
    <row r="233" spans="2:2" x14ac:dyDescent="0.25">
      <c r="B233" s="22"/>
    </row>
    <row r="234" spans="2:2" x14ac:dyDescent="0.25">
      <c r="B234" s="22"/>
    </row>
    <row r="235" spans="2:2" x14ac:dyDescent="0.25">
      <c r="B235" s="22"/>
    </row>
    <row r="236" spans="2:2" x14ac:dyDescent="0.25">
      <c r="B236" s="22"/>
    </row>
    <row r="237" spans="2:2" x14ac:dyDescent="0.25">
      <c r="B237" s="22"/>
    </row>
    <row r="238" spans="2:2" x14ac:dyDescent="0.25">
      <c r="B238" s="22"/>
    </row>
    <row r="239" spans="2:2" x14ac:dyDescent="0.25">
      <c r="B239" s="22"/>
    </row>
    <row r="240" spans="2:2" x14ac:dyDescent="0.25">
      <c r="B240" s="22"/>
    </row>
    <row r="241" spans="2:2" x14ac:dyDescent="0.25">
      <c r="B241" s="22"/>
    </row>
    <row r="242" spans="2:2" x14ac:dyDescent="0.25">
      <c r="B242" s="22"/>
    </row>
    <row r="243" spans="2:2" x14ac:dyDescent="0.25">
      <c r="B243" s="22"/>
    </row>
    <row r="244" spans="2:2" x14ac:dyDescent="0.25">
      <c r="B244" s="22"/>
    </row>
    <row r="245" spans="2:2" x14ac:dyDescent="0.25">
      <c r="B245" s="22"/>
    </row>
    <row r="246" spans="2:2" x14ac:dyDescent="0.25">
      <c r="B246" s="22"/>
    </row>
    <row r="247" spans="2:2" x14ac:dyDescent="0.25">
      <c r="B247" s="22"/>
    </row>
    <row r="248" spans="2:2" x14ac:dyDescent="0.25">
      <c r="B248" s="22"/>
    </row>
    <row r="249" spans="2:2" x14ac:dyDescent="0.25">
      <c r="B249" s="22"/>
    </row>
    <row r="250" spans="2:2" x14ac:dyDescent="0.25">
      <c r="B250" s="22"/>
    </row>
    <row r="251" spans="2:2" x14ac:dyDescent="0.25">
      <c r="B251" s="22"/>
    </row>
    <row r="252" spans="2:2" x14ac:dyDescent="0.25">
      <c r="B252" s="22"/>
    </row>
    <row r="253" spans="2:2" x14ac:dyDescent="0.25">
      <c r="B253" s="22"/>
    </row>
    <row r="254" spans="2:2" x14ac:dyDescent="0.25">
      <c r="B254" s="22"/>
    </row>
    <row r="255" spans="2:2" x14ac:dyDescent="0.25">
      <c r="B255" s="22"/>
    </row>
    <row r="256" spans="2:2" x14ac:dyDescent="0.25">
      <c r="B256" s="22"/>
    </row>
    <row r="257" spans="2:2" x14ac:dyDescent="0.25">
      <c r="B257" s="22"/>
    </row>
    <row r="258" spans="2:2" x14ac:dyDescent="0.25">
      <c r="B258" s="22"/>
    </row>
    <row r="259" spans="2:2" x14ac:dyDescent="0.25">
      <c r="B259" s="22"/>
    </row>
    <row r="260" spans="2:2" x14ac:dyDescent="0.25">
      <c r="B260" s="22"/>
    </row>
    <row r="261" spans="2:2" x14ac:dyDescent="0.25">
      <c r="B261" s="22"/>
    </row>
    <row r="262" spans="2:2" x14ac:dyDescent="0.25">
      <c r="B262" s="22"/>
    </row>
    <row r="263" spans="2:2" x14ac:dyDescent="0.25">
      <c r="B263" s="22"/>
    </row>
    <row r="264" spans="2:2" x14ac:dyDescent="0.25">
      <c r="B264" s="22"/>
    </row>
    <row r="265" spans="2:2" x14ac:dyDescent="0.25">
      <c r="B265" s="22"/>
    </row>
    <row r="266" spans="2:2" x14ac:dyDescent="0.25">
      <c r="B266" s="22"/>
    </row>
    <row r="267" spans="2:2" x14ac:dyDescent="0.25">
      <c r="B267" s="22"/>
    </row>
    <row r="268" spans="2:2" x14ac:dyDescent="0.25">
      <c r="B268" s="22"/>
    </row>
    <row r="269" spans="2:2" x14ac:dyDescent="0.25">
      <c r="B269" s="22"/>
    </row>
    <row r="270" spans="2:2" x14ac:dyDescent="0.25">
      <c r="B270" s="22"/>
    </row>
    <row r="271" spans="2:2" x14ac:dyDescent="0.25">
      <c r="B271" s="22"/>
    </row>
    <row r="272" spans="2:2" x14ac:dyDescent="0.25">
      <c r="B272" s="22"/>
    </row>
    <row r="273" spans="2:2" x14ac:dyDescent="0.25">
      <c r="B273" s="22"/>
    </row>
    <row r="274" spans="2:2" x14ac:dyDescent="0.25">
      <c r="B274" s="22"/>
    </row>
    <row r="275" spans="2:2" x14ac:dyDescent="0.25">
      <c r="B275" s="22"/>
    </row>
    <row r="276" spans="2:2" x14ac:dyDescent="0.25">
      <c r="B276" s="22"/>
    </row>
    <row r="277" spans="2:2" x14ac:dyDescent="0.25">
      <c r="B277" s="22"/>
    </row>
    <row r="278" spans="2:2" x14ac:dyDescent="0.25">
      <c r="B278" s="22"/>
    </row>
    <row r="279" spans="2:2" x14ac:dyDescent="0.25">
      <c r="B279" s="22"/>
    </row>
    <row r="280" spans="2:2" x14ac:dyDescent="0.25">
      <c r="B280" s="22"/>
    </row>
    <row r="281" spans="2:2" x14ac:dyDescent="0.25">
      <c r="B281" s="22"/>
    </row>
    <row r="282" spans="2:2" x14ac:dyDescent="0.25">
      <c r="B282" s="22"/>
    </row>
    <row r="283" spans="2:2" x14ac:dyDescent="0.25">
      <c r="B283" s="22"/>
    </row>
    <row r="284" spans="2:2" x14ac:dyDescent="0.25">
      <c r="B284" s="22"/>
    </row>
    <row r="285" spans="2:2" x14ac:dyDescent="0.25">
      <c r="B285" s="22"/>
    </row>
    <row r="286" spans="2:2" x14ac:dyDescent="0.25">
      <c r="B286" s="22"/>
    </row>
    <row r="287" spans="2:2" x14ac:dyDescent="0.25">
      <c r="B287" s="22"/>
    </row>
    <row r="288" spans="2:2" x14ac:dyDescent="0.25">
      <c r="B288" s="22"/>
    </row>
    <row r="289" spans="2:2" x14ac:dyDescent="0.25">
      <c r="B289" s="22"/>
    </row>
    <row r="290" spans="2:2" x14ac:dyDescent="0.25">
      <c r="B290" s="22"/>
    </row>
    <row r="291" spans="2:2" x14ac:dyDescent="0.25">
      <c r="B291" s="22"/>
    </row>
    <row r="292" spans="2:2" x14ac:dyDescent="0.25">
      <c r="B292" s="22"/>
    </row>
    <row r="293" spans="2:2" x14ac:dyDescent="0.25">
      <c r="B293" s="22"/>
    </row>
    <row r="294" spans="2:2" x14ac:dyDescent="0.25">
      <c r="B294" s="22"/>
    </row>
    <row r="295" spans="2:2" x14ac:dyDescent="0.25">
      <c r="B295" s="22"/>
    </row>
    <row r="296" spans="2:2" x14ac:dyDescent="0.25">
      <c r="B296" s="22"/>
    </row>
    <row r="297" spans="2:2" x14ac:dyDescent="0.25">
      <c r="B297" s="22"/>
    </row>
    <row r="298" spans="2:2" x14ac:dyDescent="0.25">
      <c r="B298" s="22"/>
    </row>
    <row r="299" spans="2:2" x14ac:dyDescent="0.25">
      <c r="B299" s="22"/>
    </row>
    <row r="300" spans="2:2" x14ac:dyDescent="0.25">
      <c r="B300" s="22"/>
    </row>
    <row r="301" spans="2:2" x14ac:dyDescent="0.25">
      <c r="B301" s="22"/>
    </row>
    <row r="302" spans="2:2" x14ac:dyDescent="0.25">
      <c r="B302" s="22"/>
    </row>
    <row r="303" spans="2:2" x14ac:dyDescent="0.25">
      <c r="B303" s="22"/>
    </row>
    <row r="304" spans="2:2" x14ac:dyDescent="0.25">
      <c r="B304" s="22"/>
    </row>
    <row r="305" spans="2:2" x14ac:dyDescent="0.25">
      <c r="B305" s="22"/>
    </row>
    <row r="306" spans="2:2" x14ac:dyDescent="0.25">
      <c r="B306" s="22"/>
    </row>
    <row r="307" spans="2:2" x14ac:dyDescent="0.25">
      <c r="B307" s="22"/>
    </row>
    <row r="308" spans="2:2" x14ac:dyDescent="0.25">
      <c r="B308" s="22"/>
    </row>
    <row r="309" spans="2:2" x14ac:dyDescent="0.25">
      <c r="B309" s="22"/>
    </row>
    <row r="310" spans="2:2" x14ac:dyDescent="0.25">
      <c r="B310" s="22"/>
    </row>
    <row r="311" spans="2:2" x14ac:dyDescent="0.25">
      <c r="B311" s="22"/>
    </row>
    <row r="312" spans="2:2" x14ac:dyDescent="0.25">
      <c r="B312" s="22"/>
    </row>
    <row r="313" spans="2:2" x14ac:dyDescent="0.25">
      <c r="B313" s="22"/>
    </row>
    <row r="314" spans="2:2" x14ac:dyDescent="0.25">
      <c r="B314" s="22"/>
    </row>
    <row r="315" spans="2:2" x14ac:dyDescent="0.25">
      <c r="B315" s="22"/>
    </row>
    <row r="316" spans="2:2" x14ac:dyDescent="0.25">
      <c r="B316" s="22"/>
    </row>
    <row r="317" spans="2:2" x14ac:dyDescent="0.25">
      <c r="B317" s="22"/>
    </row>
    <row r="318" spans="2:2" x14ac:dyDescent="0.25">
      <c r="B318" s="22"/>
    </row>
    <row r="319" spans="2:2" x14ac:dyDescent="0.25">
      <c r="B319" s="22"/>
    </row>
    <row r="320" spans="2:2" x14ac:dyDescent="0.25">
      <c r="B320" s="22"/>
    </row>
    <row r="321" spans="2:2" x14ac:dyDescent="0.25">
      <c r="B321" s="22"/>
    </row>
    <row r="322" spans="2:2" x14ac:dyDescent="0.25">
      <c r="B322" s="22"/>
    </row>
    <row r="323" spans="2:2" x14ac:dyDescent="0.25">
      <c r="B323" s="22"/>
    </row>
    <row r="324" spans="2:2" x14ac:dyDescent="0.25">
      <c r="B324" s="22"/>
    </row>
    <row r="325" spans="2:2" x14ac:dyDescent="0.25">
      <c r="B325" s="22"/>
    </row>
    <row r="326" spans="2:2" x14ac:dyDescent="0.25">
      <c r="B326" s="22"/>
    </row>
    <row r="327" spans="2:2" x14ac:dyDescent="0.25">
      <c r="B327" s="22"/>
    </row>
    <row r="328" spans="2:2" x14ac:dyDescent="0.25">
      <c r="B328" s="22"/>
    </row>
    <row r="329" spans="2:2" x14ac:dyDescent="0.25">
      <c r="B329" s="22"/>
    </row>
    <row r="330" spans="2:2" x14ac:dyDescent="0.25">
      <c r="B330" s="22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20921-B633-47AD-AEBE-8BE27BE186A8}">
  <dimension ref="A3:B264"/>
  <sheetViews>
    <sheetView zoomScale="10" workbookViewId="0">
      <selection activeCell="DB244" sqref="DB244"/>
    </sheetView>
  </sheetViews>
  <sheetFormatPr defaultRowHeight="15" x14ac:dyDescent="0.25"/>
  <cols>
    <col min="1" max="1" width="83.42578125" bestFit="1" customWidth="1"/>
    <col min="2" max="2" width="51.5703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540</v>
      </c>
      <c r="B4" s="29">
        <v>67</v>
      </c>
    </row>
    <row r="5" spans="1:2" x14ac:dyDescent="0.25">
      <c r="A5" s="30" t="s">
        <v>162</v>
      </c>
      <c r="B5" s="29">
        <v>22</v>
      </c>
    </row>
    <row r="6" spans="1:2" x14ac:dyDescent="0.25">
      <c r="A6" s="30" t="s">
        <v>209</v>
      </c>
      <c r="B6" s="29">
        <v>22</v>
      </c>
    </row>
    <row r="7" spans="1:2" x14ac:dyDescent="0.25">
      <c r="A7" s="30" t="s">
        <v>178</v>
      </c>
      <c r="B7" s="29">
        <v>23</v>
      </c>
    </row>
    <row r="8" spans="1:2" x14ac:dyDescent="0.25">
      <c r="A8" s="20" t="s">
        <v>598</v>
      </c>
      <c r="B8" s="29">
        <v>99</v>
      </c>
    </row>
    <row r="9" spans="1:2" x14ac:dyDescent="0.25">
      <c r="A9" s="30" t="s">
        <v>205</v>
      </c>
      <c r="B9" s="29">
        <v>53</v>
      </c>
    </row>
    <row r="10" spans="1:2" x14ac:dyDescent="0.25">
      <c r="A10" s="30" t="s">
        <v>172</v>
      </c>
      <c r="B10" s="29">
        <v>12</v>
      </c>
    </row>
    <row r="11" spans="1:2" x14ac:dyDescent="0.25">
      <c r="A11" s="30" t="s">
        <v>192</v>
      </c>
      <c r="B11" s="29">
        <v>34</v>
      </c>
    </row>
    <row r="12" spans="1:2" x14ac:dyDescent="0.25">
      <c r="A12" s="20" t="s">
        <v>647</v>
      </c>
      <c r="B12" s="29">
        <v>266</v>
      </c>
    </row>
    <row r="13" spans="1:2" x14ac:dyDescent="0.25">
      <c r="A13" s="30" t="s">
        <v>179</v>
      </c>
      <c r="B13" s="29">
        <v>54</v>
      </c>
    </row>
    <row r="14" spans="1:2" x14ac:dyDescent="0.25">
      <c r="A14" s="30" t="s">
        <v>200</v>
      </c>
      <c r="B14" s="29">
        <v>212</v>
      </c>
    </row>
    <row r="15" spans="1:2" x14ac:dyDescent="0.25">
      <c r="A15" s="20" t="s">
        <v>632</v>
      </c>
      <c r="B15" s="29">
        <v>375</v>
      </c>
    </row>
    <row r="16" spans="1:2" x14ac:dyDescent="0.25">
      <c r="A16" s="30" t="s">
        <v>197</v>
      </c>
      <c r="B16" s="29">
        <v>343</v>
      </c>
    </row>
    <row r="17" spans="1:2" x14ac:dyDescent="0.25">
      <c r="A17" s="30" t="s">
        <v>177</v>
      </c>
      <c r="B17" s="29">
        <v>32</v>
      </c>
    </row>
    <row r="18" spans="1:2" x14ac:dyDescent="0.25">
      <c r="A18" s="20" t="s">
        <v>588</v>
      </c>
      <c r="B18" s="29">
        <v>66</v>
      </c>
    </row>
    <row r="19" spans="1:2" x14ac:dyDescent="0.25">
      <c r="A19" s="30" t="s">
        <v>190</v>
      </c>
      <c r="B19" s="29">
        <v>12</v>
      </c>
    </row>
    <row r="20" spans="1:2" x14ac:dyDescent="0.25">
      <c r="A20" s="30" t="s">
        <v>186</v>
      </c>
      <c r="B20" s="29">
        <v>42</v>
      </c>
    </row>
    <row r="21" spans="1:2" x14ac:dyDescent="0.25">
      <c r="A21" s="30" t="s">
        <v>171</v>
      </c>
      <c r="B21" s="29">
        <v>12</v>
      </c>
    </row>
    <row r="22" spans="1:2" x14ac:dyDescent="0.25">
      <c r="A22" s="20" t="s">
        <v>426</v>
      </c>
      <c r="B22" s="29">
        <v>121</v>
      </c>
    </row>
    <row r="23" spans="1:2" x14ac:dyDescent="0.25">
      <c r="A23" s="30" t="s">
        <v>198</v>
      </c>
      <c r="B23" s="29">
        <v>65</v>
      </c>
    </row>
    <row r="24" spans="1:2" x14ac:dyDescent="0.25">
      <c r="A24" s="30" t="s">
        <v>201</v>
      </c>
      <c r="B24" s="29">
        <v>22</v>
      </c>
    </row>
    <row r="25" spans="1:2" x14ac:dyDescent="0.25">
      <c r="A25" s="30" t="s">
        <v>169</v>
      </c>
      <c r="B25" s="29">
        <v>34</v>
      </c>
    </row>
    <row r="26" spans="1:2" x14ac:dyDescent="0.25">
      <c r="A26" s="20" t="s">
        <v>466</v>
      </c>
      <c r="B26" s="29">
        <v>46</v>
      </c>
    </row>
    <row r="27" spans="1:2" x14ac:dyDescent="0.25">
      <c r="A27" s="30" t="s">
        <v>148</v>
      </c>
      <c r="B27" s="29">
        <v>22</v>
      </c>
    </row>
    <row r="28" spans="1:2" x14ac:dyDescent="0.25">
      <c r="A28" s="30" t="s">
        <v>174</v>
      </c>
      <c r="B28" s="29">
        <v>12</v>
      </c>
    </row>
    <row r="29" spans="1:2" x14ac:dyDescent="0.25">
      <c r="A29" s="30" t="s">
        <v>168</v>
      </c>
      <c r="B29" s="29">
        <v>12</v>
      </c>
    </row>
    <row r="30" spans="1:2" x14ac:dyDescent="0.25">
      <c r="A30" s="20" t="s">
        <v>10</v>
      </c>
      <c r="B30" s="29">
        <v>417</v>
      </c>
    </row>
    <row r="31" spans="1:2" x14ac:dyDescent="0.25">
      <c r="A31" s="30" t="s">
        <v>180</v>
      </c>
      <c r="B31" s="29">
        <v>32</v>
      </c>
    </row>
    <row r="32" spans="1:2" x14ac:dyDescent="0.25">
      <c r="A32" s="30" t="s">
        <v>191</v>
      </c>
      <c r="B32" s="29">
        <v>43</v>
      </c>
    </row>
    <row r="33" spans="1:2" x14ac:dyDescent="0.25">
      <c r="A33" s="30" t="s">
        <v>160</v>
      </c>
      <c r="B33" s="29">
        <v>342</v>
      </c>
    </row>
    <row r="34" spans="1:2" x14ac:dyDescent="0.25">
      <c r="A34" s="20" t="s">
        <v>487</v>
      </c>
      <c r="B34" s="29">
        <v>68</v>
      </c>
    </row>
    <row r="35" spans="1:2" x14ac:dyDescent="0.25">
      <c r="A35" s="30" t="s">
        <v>148</v>
      </c>
      <c r="B35" s="29">
        <v>22</v>
      </c>
    </row>
    <row r="36" spans="1:2" x14ac:dyDescent="0.25">
      <c r="A36" s="30" t="s">
        <v>133</v>
      </c>
      <c r="B36" s="29">
        <v>23</v>
      </c>
    </row>
    <row r="37" spans="1:2" x14ac:dyDescent="0.25">
      <c r="A37" s="30" t="s">
        <v>177</v>
      </c>
      <c r="B37" s="29">
        <v>23</v>
      </c>
    </row>
    <row r="38" spans="1:2" x14ac:dyDescent="0.25">
      <c r="A38" s="20" t="s">
        <v>497</v>
      </c>
      <c r="B38" s="29">
        <v>100</v>
      </c>
    </row>
    <row r="39" spans="1:2" x14ac:dyDescent="0.25">
      <c r="A39" s="30" t="s">
        <v>146</v>
      </c>
      <c r="B39" s="29">
        <v>43</v>
      </c>
    </row>
    <row r="40" spans="1:2" x14ac:dyDescent="0.25">
      <c r="A40" s="30" t="s">
        <v>176</v>
      </c>
      <c r="B40" s="29">
        <v>45</v>
      </c>
    </row>
    <row r="41" spans="1:2" x14ac:dyDescent="0.25">
      <c r="A41" s="30" t="s">
        <v>178</v>
      </c>
      <c r="B41" s="29">
        <v>12</v>
      </c>
    </row>
    <row r="42" spans="1:2" x14ac:dyDescent="0.25">
      <c r="A42" s="20" t="s">
        <v>492</v>
      </c>
      <c r="B42" s="29">
        <v>100</v>
      </c>
    </row>
    <row r="43" spans="1:2" x14ac:dyDescent="0.25">
      <c r="A43" s="30" t="s">
        <v>139</v>
      </c>
      <c r="B43" s="29">
        <v>33</v>
      </c>
    </row>
    <row r="44" spans="1:2" x14ac:dyDescent="0.25">
      <c r="A44" s="30" t="s">
        <v>169</v>
      </c>
      <c r="B44" s="29">
        <v>24</v>
      </c>
    </row>
    <row r="45" spans="1:2" x14ac:dyDescent="0.25">
      <c r="A45" s="30" t="s">
        <v>151</v>
      </c>
      <c r="B45" s="29">
        <v>43</v>
      </c>
    </row>
    <row r="46" spans="1:2" x14ac:dyDescent="0.25">
      <c r="A46" s="20" t="s">
        <v>68</v>
      </c>
      <c r="B46" s="29">
        <v>718</v>
      </c>
    </row>
    <row r="47" spans="1:2" x14ac:dyDescent="0.25">
      <c r="A47" s="30" t="s">
        <v>205</v>
      </c>
      <c r="B47" s="29">
        <v>332</v>
      </c>
    </row>
    <row r="48" spans="1:2" x14ac:dyDescent="0.25">
      <c r="A48" s="30" t="s">
        <v>146</v>
      </c>
      <c r="B48" s="29">
        <v>341</v>
      </c>
    </row>
    <row r="49" spans="1:2" x14ac:dyDescent="0.25">
      <c r="A49" s="30" t="s">
        <v>178</v>
      </c>
      <c r="B49" s="29">
        <v>45</v>
      </c>
    </row>
    <row r="50" spans="1:2" x14ac:dyDescent="0.25">
      <c r="A50" s="20" t="s">
        <v>670</v>
      </c>
      <c r="B50" s="29">
        <v>308</v>
      </c>
    </row>
    <row r="51" spans="1:2" x14ac:dyDescent="0.25">
      <c r="A51" s="30" t="s">
        <v>183</v>
      </c>
      <c r="B51" s="29">
        <v>76</v>
      </c>
    </row>
    <row r="52" spans="1:2" x14ac:dyDescent="0.25">
      <c r="A52" s="30" t="s">
        <v>168</v>
      </c>
      <c r="B52" s="29">
        <v>232</v>
      </c>
    </row>
    <row r="53" spans="1:2" x14ac:dyDescent="0.25">
      <c r="A53" s="20" t="s">
        <v>33</v>
      </c>
      <c r="B53" s="29">
        <v>167</v>
      </c>
    </row>
    <row r="54" spans="1:2" x14ac:dyDescent="0.25">
      <c r="A54" s="30" t="s">
        <v>188</v>
      </c>
      <c r="B54" s="29">
        <v>12</v>
      </c>
    </row>
    <row r="55" spans="1:2" x14ac:dyDescent="0.25">
      <c r="A55" s="30" t="s">
        <v>157</v>
      </c>
      <c r="B55" s="29">
        <v>123</v>
      </c>
    </row>
    <row r="56" spans="1:2" x14ac:dyDescent="0.25">
      <c r="A56" s="30" t="s">
        <v>207</v>
      </c>
      <c r="B56" s="29">
        <v>32</v>
      </c>
    </row>
    <row r="57" spans="1:2" x14ac:dyDescent="0.25">
      <c r="A57" s="20" t="s">
        <v>83</v>
      </c>
      <c r="B57" s="29">
        <v>378</v>
      </c>
    </row>
    <row r="58" spans="1:2" x14ac:dyDescent="0.25">
      <c r="A58" s="30" t="s">
        <v>192</v>
      </c>
      <c r="B58" s="29">
        <v>23</v>
      </c>
    </row>
    <row r="59" spans="1:2" x14ac:dyDescent="0.25">
      <c r="A59" s="30" t="s">
        <v>161</v>
      </c>
      <c r="B59" s="29">
        <v>323</v>
      </c>
    </row>
    <row r="60" spans="1:2" x14ac:dyDescent="0.25">
      <c r="A60" s="30" t="s">
        <v>208</v>
      </c>
      <c r="B60" s="29">
        <v>32</v>
      </c>
    </row>
    <row r="61" spans="1:2" x14ac:dyDescent="0.25">
      <c r="A61" s="20" t="s">
        <v>517</v>
      </c>
      <c r="B61" s="29">
        <v>57</v>
      </c>
    </row>
    <row r="62" spans="1:2" x14ac:dyDescent="0.25">
      <c r="A62" s="30" t="s">
        <v>181</v>
      </c>
      <c r="B62" s="29">
        <v>11</v>
      </c>
    </row>
    <row r="63" spans="1:2" x14ac:dyDescent="0.25">
      <c r="A63" s="30" t="s">
        <v>158</v>
      </c>
      <c r="B63" s="29">
        <v>46</v>
      </c>
    </row>
    <row r="64" spans="1:2" x14ac:dyDescent="0.25">
      <c r="A64" s="20" t="s">
        <v>567</v>
      </c>
      <c r="B64" s="29">
        <v>157</v>
      </c>
    </row>
    <row r="65" spans="1:2" x14ac:dyDescent="0.25">
      <c r="A65" s="30" t="s">
        <v>187</v>
      </c>
      <c r="B65" s="29">
        <v>123</v>
      </c>
    </row>
    <row r="66" spans="1:2" x14ac:dyDescent="0.25">
      <c r="A66" s="30" t="s">
        <v>167</v>
      </c>
      <c r="B66" s="29">
        <v>22</v>
      </c>
    </row>
    <row r="67" spans="1:2" x14ac:dyDescent="0.25">
      <c r="A67" s="30" t="s">
        <v>182</v>
      </c>
      <c r="B67" s="29">
        <v>12</v>
      </c>
    </row>
    <row r="68" spans="1:2" x14ac:dyDescent="0.25">
      <c r="A68" s="20" t="s">
        <v>94</v>
      </c>
      <c r="B68" s="29">
        <v>399</v>
      </c>
    </row>
    <row r="69" spans="1:2" x14ac:dyDescent="0.25">
      <c r="A69" s="30" t="s">
        <v>154</v>
      </c>
      <c r="B69" s="29">
        <v>43</v>
      </c>
    </row>
    <row r="70" spans="1:2" x14ac:dyDescent="0.25">
      <c r="A70" s="30" t="s">
        <v>212</v>
      </c>
      <c r="B70" s="29">
        <v>32</v>
      </c>
    </row>
    <row r="71" spans="1:2" x14ac:dyDescent="0.25">
      <c r="A71" s="30" t="s">
        <v>165</v>
      </c>
      <c r="B71" s="29">
        <v>324</v>
      </c>
    </row>
    <row r="72" spans="1:2" x14ac:dyDescent="0.25">
      <c r="A72" s="20" t="s">
        <v>456</v>
      </c>
      <c r="B72" s="29">
        <v>86</v>
      </c>
    </row>
    <row r="73" spans="1:2" x14ac:dyDescent="0.25">
      <c r="A73" s="30" t="s">
        <v>202</v>
      </c>
      <c r="B73" s="29">
        <v>32</v>
      </c>
    </row>
    <row r="74" spans="1:2" x14ac:dyDescent="0.25">
      <c r="A74" s="30" t="s">
        <v>158</v>
      </c>
      <c r="B74" s="29">
        <v>22</v>
      </c>
    </row>
    <row r="75" spans="1:2" x14ac:dyDescent="0.25">
      <c r="A75" s="30" t="s">
        <v>171</v>
      </c>
      <c r="B75" s="29">
        <v>32</v>
      </c>
    </row>
    <row r="76" spans="1:2" x14ac:dyDescent="0.25">
      <c r="A76" s="20" t="s">
        <v>476</v>
      </c>
      <c r="B76" s="29">
        <v>56</v>
      </c>
    </row>
    <row r="77" spans="1:2" x14ac:dyDescent="0.25">
      <c r="A77" s="30" t="s">
        <v>142</v>
      </c>
      <c r="B77" s="29">
        <v>22</v>
      </c>
    </row>
    <row r="78" spans="1:2" x14ac:dyDescent="0.25">
      <c r="A78" s="30" t="s">
        <v>204</v>
      </c>
      <c r="B78" s="29">
        <v>12</v>
      </c>
    </row>
    <row r="79" spans="1:2" x14ac:dyDescent="0.25">
      <c r="A79" s="30" t="s">
        <v>176</v>
      </c>
      <c r="B79" s="29">
        <v>22</v>
      </c>
    </row>
    <row r="80" spans="1:2" x14ac:dyDescent="0.25">
      <c r="A80" s="20" t="s">
        <v>593</v>
      </c>
      <c r="B80" s="29">
        <v>63</v>
      </c>
    </row>
    <row r="81" spans="1:2" x14ac:dyDescent="0.25">
      <c r="A81" s="30" t="s">
        <v>154</v>
      </c>
      <c r="B81" s="29">
        <v>12</v>
      </c>
    </row>
    <row r="82" spans="1:2" x14ac:dyDescent="0.25">
      <c r="A82" s="30" t="s">
        <v>213</v>
      </c>
      <c r="B82" s="29">
        <v>8</v>
      </c>
    </row>
    <row r="83" spans="1:2" x14ac:dyDescent="0.25">
      <c r="A83" s="30" t="s">
        <v>191</v>
      </c>
      <c r="B83" s="29">
        <v>43</v>
      </c>
    </row>
    <row r="84" spans="1:2" x14ac:dyDescent="0.25">
      <c r="A84" s="20" t="s">
        <v>450</v>
      </c>
      <c r="B84" s="29">
        <v>288</v>
      </c>
    </row>
    <row r="85" spans="1:2" x14ac:dyDescent="0.25">
      <c r="A85" s="30" t="s">
        <v>205</v>
      </c>
      <c r="B85" s="29">
        <v>22</v>
      </c>
    </row>
    <row r="86" spans="1:2" x14ac:dyDescent="0.25">
      <c r="A86" s="30" t="s">
        <v>172</v>
      </c>
      <c r="B86" s="29">
        <v>212</v>
      </c>
    </row>
    <row r="87" spans="1:2" x14ac:dyDescent="0.25">
      <c r="A87" s="30" t="s">
        <v>195</v>
      </c>
      <c r="B87" s="29">
        <v>54</v>
      </c>
    </row>
    <row r="88" spans="1:2" x14ac:dyDescent="0.25">
      <c r="A88" s="20" t="s">
        <v>471</v>
      </c>
      <c r="B88" s="29">
        <v>57</v>
      </c>
    </row>
    <row r="89" spans="1:2" x14ac:dyDescent="0.25">
      <c r="A89" s="30" t="s">
        <v>189</v>
      </c>
      <c r="B89" s="29">
        <v>12</v>
      </c>
    </row>
    <row r="90" spans="1:2" x14ac:dyDescent="0.25">
      <c r="A90" s="30" t="s">
        <v>214</v>
      </c>
      <c r="B90" s="29">
        <v>22</v>
      </c>
    </row>
    <row r="91" spans="1:2" x14ac:dyDescent="0.25">
      <c r="A91" s="30" t="s">
        <v>175</v>
      </c>
      <c r="B91" s="29">
        <v>23</v>
      </c>
    </row>
    <row r="92" spans="1:2" x14ac:dyDescent="0.25">
      <c r="A92" s="20" t="s">
        <v>88</v>
      </c>
      <c r="B92" s="29">
        <v>520</v>
      </c>
    </row>
    <row r="93" spans="1:2" x14ac:dyDescent="0.25">
      <c r="A93" s="30" t="s">
        <v>193</v>
      </c>
      <c r="B93" s="29">
        <v>56</v>
      </c>
    </row>
    <row r="94" spans="1:2" x14ac:dyDescent="0.25">
      <c r="A94" s="30" t="s">
        <v>162</v>
      </c>
      <c r="B94" s="29">
        <v>432</v>
      </c>
    </row>
    <row r="95" spans="1:2" x14ac:dyDescent="0.25">
      <c r="A95" s="30" t="s">
        <v>209</v>
      </c>
      <c r="B95" s="29">
        <v>32</v>
      </c>
    </row>
    <row r="96" spans="1:2" x14ac:dyDescent="0.25">
      <c r="A96" s="20" t="s">
        <v>666</v>
      </c>
      <c r="B96" s="29">
        <v>117</v>
      </c>
    </row>
    <row r="97" spans="1:2" x14ac:dyDescent="0.25">
      <c r="A97" s="30" t="s">
        <v>203</v>
      </c>
      <c r="B97" s="29">
        <v>33</v>
      </c>
    </row>
    <row r="98" spans="1:2" x14ac:dyDescent="0.25">
      <c r="A98" s="30" t="s">
        <v>182</v>
      </c>
      <c r="B98" s="29">
        <v>84</v>
      </c>
    </row>
    <row r="99" spans="1:2" x14ac:dyDescent="0.25">
      <c r="A99" s="20" t="s">
        <v>106</v>
      </c>
      <c r="B99" s="29">
        <v>97</v>
      </c>
    </row>
    <row r="100" spans="1:2" x14ac:dyDescent="0.25">
      <c r="A100" s="30" t="s">
        <v>197</v>
      </c>
      <c r="B100" s="29">
        <v>43</v>
      </c>
    </row>
    <row r="101" spans="1:2" x14ac:dyDescent="0.25">
      <c r="A101" s="30" t="s">
        <v>168</v>
      </c>
      <c r="B101" s="29">
        <v>32</v>
      </c>
    </row>
    <row r="102" spans="1:2" x14ac:dyDescent="0.25">
      <c r="A102" s="30" t="s">
        <v>178</v>
      </c>
      <c r="B102" s="29">
        <v>22</v>
      </c>
    </row>
    <row r="103" spans="1:2" x14ac:dyDescent="0.25">
      <c r="A103" s="20" t="s">
        <v>652</v>
      </c>
      <c r="B103" s="29">
        <v>75</v>
      </c>
    </row>
    <row r="104" spans="1:2" x14ac:dyDescent="0.25">
      <c r="A104" s="30" t="s">
        <v>201</v>
      </c>
      <c r="B104" s="29">
        <v>32</v>
      </c>
    </row>
    <row r="105" spans="1:2" x14ac:dyDescent="0.25">
      <c r="A105" s="30" t="s">
        <v>166</v>
      </c>
      <c r="B105" s="29">
        <v>43</v>
      </c>
    </row>
    <row r="106" spans="1:2" x14ac:dyDescent="0.25">
      <c r="A106" s="20" t="s">
        <v>21</v>
      </c>
      <c r="B106" s="29">
        <v>278</v>
      </c>
    </row>
    <row r="107" spans="1:2" x14ac:dyDescent="0.25">
      <c r="A107" s="30" t="s">
        <v>170</v>
      </c>
      <c r="B107" s="29">
        <v>23</v>
      </c>
    </row>
    <row r="108" spans="1:2" x14ac:dyDescent="0.25">
      <c r="A108" s="30" t="s">
        <v>166</v>
      </c>
      <c r="B108" s="29">
        <v>32</v>
      </c>
    </row>
    <row r="109" spans="1:2" x14ac:dyDescent="0.25">
      <c r="A109" s="30" t="s">
        <v>156</v>
      </c>
      <c r="B109" s="29">
        <v>223</v>
      </c>
    </row>
    <row r="110" spans="1:2" x14ac:dyDescent="0.25">
      <c r="A110" s="20" t="s">
        <v>573</v>
      </c>
      <c r="B110" s="29">
        <v>497</v>
      </c>
    </row>
    <row r="111" spans="1:2" x14ac:dyDescent="0.25">
      <c r="A111" s="30" t="s">
        <v>188</v>
      </c>
      <c r="B111" s="29">
        <v>432</v>
      </c>
    </row>
    <row r="112" spans="1:2" x14ac:dyDescent="0.25">
      <c r="A112" s="30" t="s">
        <v>168</v>
      </c>
      <c r="B112" s="29">
        <v>22</v>
      </c>
    </row>
    <row r="113" spans="1:2" x14ac:dyDescent="0.25">
      <c r="A113" s="30" t="s">
        <v>178</v>
      </c>
      <c r="B113" s="29">
        <v>43</v>
      </c>
    </row>
    <row r="114" spans="1:2" x14ac:dyDescent="0.25">
      <c r="A114" s="20" t="s">
        <v>526</v>
      </c>
      <c r="B114" s="29">
        <v>187</v>
      </c>
    </row>
    <row r="115" spans="1:2" x14ac:dyDescent="0.25">
      <c r="A115" s="30" t="s">
        <v>154</v>
      </c>
      <c r="B115" s="29">
        <v>21</v>
      </c>
    </row>
    <row r="116" spans="1:2" x14ac:dyDescent="0.25">
      <c r="A116" s="30" t="s">
        <v>159</v>
      </c>
      <c r="B116" s="29">
        <v>43</v>
      </c>
    </row>
    <row r="117" spans="1:2" x14ac:dyDescent="0.25">
      <c r="A117" s="30" t="s">
        <v>183</v>
      </c>
      <c r="B117" s="29">
        <v>123</v>
      </c>
    </row>
    <row r="118" spans="1:2" x14ac:dyDescent="0.25">
      <c r="A118" s="20" t="s">
        <v>44</v>
      </c>
      <c r="B118" s="29">
        <v>396</v>
      </c>
    </row>
    <row r="119" spans="1:2" x14ac:dyDescent="0.25">
      <c r="A119" s="30" t="s">
        <v>154</v>
      </c>
      <c r="B119" s="29">
        <v>233</v>
      </c>
    </row>
    <row r="120" spans="1:2" x14ac:dyDescent="0.25">
      <c r="A120" s="30" t="s">
        <v>193</v>
      </c>
      <c r="B120" s="29">
        <v>23</v>
      </c>
    </row>
    <row r="121" spans="1:2" x14ac:dyDescent="0.25">
      <c r="A121" s="30" t="s">
        <v>206</v>
      </c>
      <c r="B121" s="29">
        <v>32</v>
      </c>
    </row>
    <row r="122" spans="1:2" x14ac:dyDescent="0.25">
      <c r="A122" s="30" t="s">
        <v>176</v>
      </c>
      <c r="B122" s="29">
        <v>43</v>
      </c>
    </row>
    <row r="123" spans="1:2" x14ac:dyDescent="0.25">
      <c r="A123" s="30" t="s">
        <v>167</v>
      </c>
      <c r="B123" s="29">
        <v>43</v>
      </c>
    </row>
    <row r="124" spans="1:2" x14ac:dyDescent="0.25">
      <c r="A124" s="30" t="s">
        <v>182</v>
      </c>
      <c r="B124" s="29">
        <v>22</v>
      </c>
    </row>
    <row r="125" spans="1:2" x14ac:dyDescent="0.25">
      <c r="A125" s="20" t="s">
        <v>461</v>
      </c>
      <c r="B125" s="29">
        <v>77</v>
      </c>
    </row>
    <row r="126" spans="1:2" x14ac:dyDescent="0.25">
      <c r="A126" s="30" t="s">
        <v>173</v>
      </c>
      <c r="B126" s="29">
        <v>21</v>
      </c>
    </row>
    <row r="127" spans="1:2" x14ac:dyDescent="0.25">
      <c r="A127" s="30" t="s">
        <v>203</v>
      </c>
      <c r="B127" s="29">
        <v>34</v>
      </c>
    </row>
    <row r="128" spans="1:2" x14ac:dyDescent="0.25">
      <c r="A128" s="30" t="s">
        <v>176</v>
      </c>
      <c r="B128" s="29">
        <v>22</v>
      </c>
    </row>
    <row r="129" spans="1:2" x14ac:dyDescent="0.25">
      <c r="A129" s="20" t="s">
        <v>612</v>
      </c>
      <c r="B129" s="29">
        <v>108</v>
      </c>
    </row>
    <row r="130" spans="1:2" x14ac:dyDescent="0.25">
      <c r="A130" s="30" t="s">
        <v>148</v>
      </c>
      <c r="B130" s="29">
        <v>34</v>
      </c>
    </row>
    <row r="131" spans="1:2" x14ac:dyDescent="0.25">
      <c r="A131" s="30" t="s">
        <v>195</v>
      </c>
      <c r="B131" s="29">
        <v>32</v>
      </c>
    </row>
    <row r="132" spans="1:2" x14ac:dyDescent="0.25">
      <c r="A132" s="30" t="s">
        <v>174</v>
      </c>
      <c r="B132" s="29">
        <v>42</v>
      </c>
    </row>
    <row r="133" spans="1:2" x14ac:dyDescent="0.25">
      <c r="A133" s="20" t="s">
        <v>522</v>
      </c>
      <c r="B133" s="29">
        <v>66</v>
      </c>
    </row>
    <row r="134" spans="1:2" x14ac:dyDescent="0.25">
      <c r="A134" s="30" t="s">
        <v>166</v>
      </c>
      <c r="B134" s="29">
        <v>12</v>
      </c>
    </row>
    <row r="135" spans="1:2" x14ac:dyDescent="0.25">
      <c r="A135" s="30" t="s">
        <v>156</v>
      </c>
      <c r="B135" s="29">
        <v>43</v>
      </c>
    </row>
    <row r="136" spans="1:2" x14ac:dyDescent="0.25">
      <c r="A136" s="30" t="s">
        <v>182</v>
      </c>
      <c r="B136" s="29">
        <v>11</v>
      </c>
    </row>
    <row r="137" spans="1:2" x14ac:dyDescent="0.25">
      <c r="A137" s="20" t="s">
        <v>502</v>
      </c>
      <c r="B137" s="29">
        <v>78</v>
      </c>
    </row>
    <row r="138" spans="1:2" x14ac:dyDescent="0.25">
      <c r="A138" s="30" t="s">
        <v>154</v>
      </c>
      <c r="B138" s="29">
        <v>43</v>
      </c>
    </row>
    <row r="139" spans="1:2" x14ac:dyDescent="0.25">
      <c r="A139" s="30" t="s">
        <v>206</v>
      </c>
      <c r="B139" s="29">
        <v>12</v>
      </c>
    </row>
    <row r="140" spans="1:2" x14ac:dyDescent="0.25">
      <c r="A140" s="30" t="s">
        <v>179</v>
      </c>
      <c r="B140" s="29">
        <v>23</v>
      </c>
    </row>
    <row r="141" spans="1:2" x14ac:dyDescent="0.25">
      <c r="A141" s="20" t="s">
        <v>16</v>
      </c>
      <c r="B141" s="29">
        <v>297</v>
      </c>
    </row>
    <row r="142" spans="1:2" x14ac:dyDescent="0.25">
      <c r="A142" s="30" t="s">
        <v>154</v>
      </c>
      <c r="B142" s="29">
        <v>32</v>
      </c>
    </row>
    <row r="143" spans="1:2" x14ac:dyDescent="0.25">
      <c r="A143" s="30" t="s">
        <v>190</v>
      </c>
      <c r="B143" s="29">
        <v>32</v>
      </c>
    </row>
    <row r="144" spans="1:2" x14ac:dyDescent="0.25">
      <c r="A144" s="30" t="s">
        <v>159</v>
      </c>
      <c r="B144" s="29">
        <v>233</v>
      </c>
    </row>
    <row r="145" spans="1:2" x14ac:dyDescent="0.25">
      <c r="A145" s="20" t="s">
        <v>546</v>
      </c>
      <c r="B145" s="29">
        <v>37</v>
      </c>
    </row>
    <row r="146" spans="1:2" x14ac:dyDescent="0.25">
      <c r="A146" s="30" t="s">
        <v>162</v>
      </c>
      <c r="B146" s="29">
        <v>34</v>
      </c>
    </row>
    <row r="147" spans="1:2" x14ac:dyDescent="0.25">
      <c r="A147" s="30" t="s">
        <v>210</v>
      </c>
      <c r="B147" s="29">
        <v>3</v>
      </c>
    </row>
    <row r="148" spans="1:2" x14ac:dyDescent="0.25">
      <c r="A148" s="20" t="s">
        <v>607</v>
      </c>
      <c r="B148" s="29">
        <v>78</v>
      </c>
    </row>
    <row r="149" spans="1:2" x14ac:dyDescent="0.25">
      <c r="A149" s="30" t="s">
        <v>194</v>
      </c>
      <c r="B149" s="29">
        <v>12</v>
      </c>
    </row>
    <row r="150" spans="1:2" x14ac:dyDescent="0.25">
      <c r="A150" s="30" t="s">
        <v>173</v>
      </c>
      <c r="B150" s="29">
        <v>43</v>
      </c>
    </row>
    <row r="151" spans="1:2" x14ac:dyDescent="0.25">
      <c r="A151" s="30" t="s">
        <v>176</v>
      </c>
      <c r="B151" s="29">
        <v>23</v>
      </c>
    </row>
    <row r="152" spans="1:2" x14ac:dyDescent="0.25">
      <c r="A152" s="20" t="s">
        <v>637</v>
      </c>
      <c r="B152" s="29">
        <v>86</v>
      </c>
    </row>
    <row r="153" spans="1:2" x14ac:dyDescent="0.25">
      <c r="A153" s="30" t="s">
        <v>198</v>
      </c>
      <c r="B153" s="29">
        <v>43</v>
      </c>
    </row>
    <row r="154" spans="1:2" x14ac:dyDescent="0.25">
      <c r="A154" s="30" t="s">
        <v>139</v>
      </c>
      <c r="B154" s="29">
        <v>43</v>
      </c>
    </row>
    <row r="155" spans="1:2" x14ac:dyDescent="0.25">
      <c r="A155" s="20" t="s">
        <v>444</v>
      </c>
      <c r="B155" s="29">
        <v>268</v>
      </c>
    </row>
    <row r="156" spans="1:2" x14ac:dyDescent="0.25">
      <c r="A156" s="30" t="s">
        <v>154</v>
      </c>
      <c r="B156" s="29">
        <v>23</v>
      </c>
    </row>
    <row r="157" spans="1:2" x14ac:dyDescent="0.25">
      <c r="A157" s="30" t="s">
        <v>213</v>
      </c>
      <c r="B157" s="29">
        <v>22</v>
      </c>
    </row>
    <row r="158" spans="1:2" x14ac:dyDescent="0.25">
      <c r="A158" s="30" t="s">
        <v>201</v>
      </c>
      <c r="B158" s="29">
        <v>223</v>
      </c>
    </row>
    <row r="159" spans="1:2" x14ac:dyDescent="0.25">
      <c r="A159" s="20" t="s">
        <v>583</v>
      </c>
      <c r="B159" s="29">
        <v>430</v>
      </c>
    </row>
    <row r="160" spans="1:2" x14ac:dyDescent="0.25">
      <c r="A160" s="30" t="s">
        <v>170</v>
      </c>
      <c r="B160" s="29">
        <v>424</v>
      </c>
    </row>
    <row r="161" spans="1:2" x14ac:dyDescent="0.25">
      <c r="A161" s="30" t="s">
        <v>168</v>
      </c>
      <c r="B161" s="29">
        <v>6</v>
      </c>
    </row>
    <row r="162" spans="1:2" x14ac:dyDescent="0.25">
      <c r="A162" s="20" t="s">
        <v>507</v>
      </c>
      <c r="B162" s="29">
        <v>187</v>
      </c>
    </row>
    <row r="163" spans="1:2" x14ac:dyDescent="0.25">
      <c r="A163" s="30" t="s">
        <v>166</v>
      </c>
      <c r="B163" s="29">
        <v>23</v>
      </c>
    </row>
    <row r="164" spans="1:2" x14ac:dyDescent="0.25">
      <c r="A164" s="30" t="s">
        <v>167</v>
      </c>
      <c r="B164" s="29">
        <v>121</v>
      </c>
    </row>
    <row r="165" spans="1:2" x14ac:dyDescent="0.25">
      <c r="A165" s="30" t="s">
        <v>156</v>
      </c>
      <c r="B165" s="29">
        <v>43</v>
      </c>
    </row>
    <row r="166" spans="1:2" x14ac:dyDescent="0.25">
      <c r="A166" s="20" t="s">
        <v>603</v>
      </c>
      <c r="B166" s="29">
        <v>550</v>
      </c>
    </row>
    <row r="167" spans="1:2" x14ac:dyDescent="0.25">
      <c r="A167" s="30" t="s">
        <v>193</v>
      </c>
      <c r="B167" s="29">
        <v>432</v>
      </c>
    </row>
    <row r="168" spans="1:2" x14ac:dyDescent="0.25">
      <c r="A168" s="30" t="s">
        <v>158</v>
      </c>
      <c r="B168" s="29">
        <v>75</v>
      </c>
    </row>
    <row r="169" spans="1:2" x14ac:dyDescent="0.25">
      <c r="A169" s="30" t="s">
        <v>171</v>
      </c>
      <c r="B169" s="29">
        <v>43</v>
      </c>
    </row>
    <row r="170" spans="1:2" x14ac:dyDescent="0.25">
      <c r="A170" s="20" t="s">
        <v>627</v>
      </c>
      <c r="B170" s="29">
        <v>62</v>
      </c>
    </row>
    <row r="171" spans="1:2" x14ac:dyDescent="0.25">
      <c r="A171" s="30" t="s">
        <v>193</v>
      </c>
      <c r="B171" s="29">
        <v>33</v>
      </c>
    </row>
    <row r="172" spans="1:2" x14ac:dyDescent="0.25">
      <c r="A172" s="30" t="s">
        <v>214</v>
      </c>
      <c r="B172" s="29">
        <v>6</v>
      </c>
    </row>
    <row r="173" spans="1:2" x14ac:dyDescent="0.25">
      <c r="A173" s="30" t="s">
        <v>146</v>
      </c>
      <c r="B173" s="29">
        <v>23</v>
      </c>
    </row>
    <row r="174" spans="1:2" x14ac:dyDescent="0.25">
      <c r="A174" s="20" t="s">
        <v>62</v>
      </c>
      <c r="B174" s="29">
        <v>151</v>
      </c>
    </row>
    <row r="175" spans="1:2" x14ac:dyDescent="0.25">
      <c r="A175" s="30" t="s">
        <v>148</v>
      </c>
      <c r="B175" s="29">
        <v>42</v>
      </c>
    </row>
    <row r="176" spans="1:2" x14ac:dyDescent="0.25">
      <c r="A176" s="30" t="s">
        <v>162</v>
      </c>
      <c r="B176" s="29">
        <v>87</v>
      </c>
    </row>
    <row r="177" spans="1:2" x14ac:dyDescent="0.25">
      <c r="A177" s="30" t="s">
        <v>133</v>
      </c>
      <c r="B177" s="29">
        <v>22</v>
      </c>
    </row>
    <row r="178" spans="1:2" x14ac:dyDescent="0.25">
      <c r="A178" s="20" t="s">
        <v>481</v>
      </c>
      <c r="B178" s="29">
        <v>80</v>
      </c>
    </row>
    <row r="179" spans="1:2" x14ac:dyDescent="0.25">
      <c r="A179" s="30" t="s">
        <v>205</v>
      </c>
      <c r="B179" s="29">
        <v>35</v>
      </c>
    </row>
    <row r="180" spans="1:2" x14ac:dyDescent="0.25">
      <c r="A180" s="30" t="s">
        <v>146</v>
      </c>
      <c r="B180" s="29">
        <v>45</v>
      </c>
    </row>
    <row r="181" spans="1:2" x14ac:dyDescent="0.25">
      <c r="A181" s="20" t="s">
        <v>27</v>
      </c>
      <c r="B181" s="29">
        <v>518</v>
      </c>
    </row>
    <row r="182" spans="1:2" x14ac:dyDescent="0.25">
      <c r="A182" s="30" t="s">
        <v>189</v>
      </c>
      <c r="B182" s="29">
        <v>54</v>
      </c>
    </row>
    <row r="183" spans="1:2" x14ac:dyDescent="0.25">
      <c r="A183" s="30" t="s">
        <v>158</v>
      </c>
      <c r="B183" s="29">
        <v>464</v>
      </c>
    </row>
    <row r="184" spans="1:2" x14ac:dyDescent="0.25">
      <c r="A184" s="20" t="s">
        <v>562</v>
      </c>
      <c r="B184" s="29">
        <v>148</v>
      </c>
    </row>
    <row r="185" spans="1:2" x14ac:dyDescent="0.25">
      <c r="A185" s="30" t="s">
        <v>176</v>
      </c>
      <c r="B185" s="29">
        <v>123</v>
      </c>
    </row>
    <row r="186" spans="1:2" x14ac:dyDescent="0.25">
      <c r="A186" s="30" t="s">
        <v>166</v>
      </c>
      <c r="B186" s="29">
        <v>25</v>
      </c>
    </row>
    <row r="187" spans="1:2" x14ac:dyDescent="0.25">
      <c r="A187" s="20" t="s">
        <v>657</v>
      </c>
      <c r="B187" s="29">
        <v>65</v>
      </c>
    </row>
    <row r="188" spans="1:2" x14ac:dyDescent="0.25">
      <c r="A188" s="30" t="s">
        <v>180</v>
      </c>
      <c r="B188" s="29">
        <v>43</v>
      </c>
    </row>
    <row r="189" spans="1:2" x14ac:dyDescent="0.25">
      <c r="A189" s="30" t="s">
        <v>195</v>
      </c>
      <c r="B189" s="29">
        <v>22</v>
      </c>
    </row>
    <row r="190" spans="1:2" x14ac:dyDescent="0.25">
      <c r="A190" s="20" t="s">
        <v>530</v>
      </c>
      <c r="B190" s="29">
        <v>478</v>
      </c>
    </row>
    <row r="191" spans="1:2" x14ac:dyDescent="0.25">
      <c r="A191" s="30" t="s">
        <v>180</v>
      </c>
      <c r="B191" s="29">
        <v>23</v>
      </c>
    </row>
    <row r="192" spans="1:2" x14ac:dyDescent="0.25">
      <c r="A192" s="30" t="s">
        <v>184</v>
      </c>
      <c r="B192" s="29">
        <v>412</v>
      </c>
    </row>
    <row r="193" spans="1:2" x14ac:dyDescent="0.25">
      <c r="A193" s="30" t="s">
        <v>160</v>
      </c>
      <c r="B193" s="29">
        <v>43</v>
      </c>
    </row>
    <row r="194" spans="1:2" x14ac:dyDescent="0.25">
      <c r="A194" s="20" t="s">
        <v>438</v>
      </c>
      <c r="B194" s="29">
        <v>88</v>
      </c>
    </row>
    <row r="195" spans="1:2" x14ac:dyDescent="0.25">
      <c r="A195" s="30" t="s">
        <v>186</v>
      </c>
      <c r="B195" s="29">
        <v>22</v>
      </c>
    </row>
    <row r="196" spans="1:2" x14ac:dyDescent="0.25">
      <c r="A196" s="30" t="s">
        <v>171</v>
      </c>
      <c r="B196" s="29">
        <v>12</v>
      </c>
    </row>
    <row r="197" spans="1:2" x14ac:dyDescent="0.25">
      <c r="A197" s="30" t="s">
        <v>200</v>
      </c>
      <c r="B197" s="29">
        <v>54</v>
      </c>
    </row>
    <row r="198" spans="1:2" x14ac:dyDescent="0.25">
      <c r="A198" s="20" t="s">
        <v>617</v>
      </c>
      <c r="B198" s="29">
        <v>76</v>
      </c>
    </row>
    <row r="199" spans="1:2" x14ac:dyDescent="0.25">
      <c r="A199" s="30" t="s">
        <v>154</v>
      </c>
      <c r="B199" s="29">
        <v>32</v>
      </c>
    </row>
    <row r="200" spans="1:2" x14ac:dyDescent="0.25">
      <c r="A200" s="30" t="s">
        <v>214</v>
      </c>
      <c r="B200" s="29">
        <v>32</v>
      </c>
    </row>
    <row r="201" spans="1:2" x14ac:dyDescent="0.25">
      <c r="A201" s="30" t="s">
        <v>175</v>
      </c>
      <c r="B201" s="29">
        <v>12</v>
      </c>
    </row>
    <row r="202" spans="1:2" x14ac:dyDescent="0.25">
      <c r="A202" s="20" t="s">
        <v>74</v>
      </c>
      <c r="B202" s="29">
        <v>782</v>
      </c>
    </row>
    <row r="203" spans="1:2" x14ac:dyDescent="0.25">
      <c r="A203" s="30" t="s">
        <v>194</v>
      </c>
      <c r="B203" s="29">
        <v>54</v>
      </c>
    </row>
    <row r="204" spans="1:2" x14ac:dyDescent="0.25">
      <c r="A204" s="30" t="s">
        <v>142</v>
      </c>
      <c r="B204" s="29">
        <v>23</v>
      </c>
    </row>
    <row r="205" spans="1:2" x14ac:dyDescent="0.25">
      <c r="A205" s="30" t="s">
        <v>204</v>
      </c>
      <c r="B205" s="29">
        <v>322</v>
      </c>
    </row>
    <row r="206" spans="1:2" x14ac:dyDescent="0.25">
      <c r="A206" s="30" t="s">
        <v>162</v>
      </c>
      <c r="B206" s="29">
        <v>343</v>
      </c>
    </row>
    <row r="207" spans="1:2" x14ac:dyDescent="0.25">
      <c r="A207" s="30" t="s">
        <v>210</v>
      </c>
      <c r="B207" s="29">
        <v>32</v>
      </c>
    </row>
    <row r="208" spans="1:2" x14ac:dyDescent="0.25">
      <c r="A208" s="30" t="s">
        <v>185</v>
      </c>
      <c r="B208" s="29">
        <v>8</v>
      </c>
    </row>
    <row r="209" spans="1:2" x14ac:dyDescent="0.25">
      <c r="A209" s="20" t="s">
        <v>38</v>
      </c>
      <c r="B209" s="29">
        <v>298</v>
      </c>
    </row>
    <row r="210" spans="1:2" x14ac:dyDescent="0.25">
      <c r="A210" s="30" t="s">
        <v>187</v>
      </c>
      <c r="B210" s="29">
        <v>32</v>
      </c>
    </row>
    <row r="211" spans="1:2" x14ac:dyDescent="0.25">
      <c r="A211" s="30" t="s">
        <v>167</v>
      </c>
      <c r="B211" s="29">
        <v>32</v>
      </c>
    </row>
    <row r="212" spans="1:2" x14ac:dyDescent="0.25">
      <c r="A212" s="30" t="s">
        <v>156</v>
      </c>
      <c r="B212" s="29">
        <v>234</v>
      </c>
    </row>
    <row r="213" spans="1:2" x14ac:dyDescent="0.25">
      <c r="A213" s="20" t="s">
        <v>432</v>
      </c>
      <c r="B213" s="29">
        <v>99</v>
      </c>
    </row>
    <row r="214" spans="1:2" x14ac:dyDescent="0.25">
      <c r="A214" s="30" t="s">
        <v>170</v>
      </c>
      <c r="B214" s="29">
        <v>34</v>
      </c>
    </row>
    <row r="215" spans="1:2" x14ac:dyDescent="0.25">
      <c r="A215" s="30" t="s">
        <v>168</v>
      </c>
      <c r="B215" s="29">
        <v>22</v>
      </c>
    </row>
    <row r="216" spans="1:2" x14ac:dyDescent="0.25">
      <c r="A216" s="30" t="s">
        <v>199</v>
      </c>
      <c r="B216" s="29">
        <v>43</v>
      </c>
    </row>
    <row r="217" spans="1:2" x14ac:dyDescent="0.25">
      <c r="A217" s="20" t="s">
        <v>642</v>
      </c>
      <c r="B217" s="29">
        <v>54</v>
      </c>
    </row>
    <row r="218" spans="1:2" x14ac:dyDescent="0.25">
      <c r="A218" s="30" t="s">
        <v>199</v>
      </c>
      <c r="B218" s="29">
        <v>22</v>
      </c>
    </row>
    <row r="219" spans="1:2" x14ac:dyDescent="0.25">
      <c r="A219" s="30" t="s">
        <v>178</v>
      </c>
      <c r="B219" s="29">
        <v>32</v>
      </c>
    </row>
    <row r="220" spans="1:2" x14ac:dyDescent="0.25">
      <c r="A220" s="20" t="s">
        <v>674</v>
      </c>
      <c r="B220" s="29">
        <v>309</v>
      </c>
    </row>
    <row r="221" spans="1:2" x14ac:dyDescent="0.25">
      <c r="A221" s="30" t="s">
        <v>189</v>
      </c>
      <c r="B221" s="29">
        <v>232</v>
      </c>
    </row>
    <row r="222" spans="1:2" x14ac:dyDescent="0.25">
      <c r="A222" s="30" t="s">
        <v>184</v>
      </c>
      <c r="B222" s="29">
        <v>77</v>
      </c>
    </row>
    <row r="223" spans="1:2" x14ac:dyDescent="0.25">
      <c r="A223" s="20" t="s">
        <v>622</v>
      </c>
      <c r="B223" s="29">
        <v>79</v>
      </c>
    </row>
    <row r="224" spans="1:2" x14ac:dyDescent="0.25">
      <c r="A224" s="30" t="s">
        <v>196</v>
      </c>
      <c r="B224" s="29">
        <v>33</v>
      </c>
    </row>
    <row r="225" spans="1:2" x14ac:dyDescent="0.25">
      <c r="A225" s="30" t="s">
        <v>148</v>
      </c>
      <c r="B225" s="29">
        <v>23</v>
      </c>
    </row>
    <row r="226" spans="1:2" x14ac:dyDescent="0.25">
      <c r="A226" s="30" t="s">
        <v>176</v>
      </c>
      <c r="B226" s="29">
        <v>23</v>
      </c>
    </row>
    <row r="227" spans="1:2" x14ac:dyDescent="0.25">
      <c r="A227" s="20" t="s">
        <v>578</v>
      </c>
      <c r="B227" s="29">
        <v>476</v>
      </c>
    </row>
    <row r="228" spans="1:2" x14ac:dyDescent="0.25">
      <c r="A228" s="30" t="s">
        <v>189</v>
      </c>
      <c r="B228" s="29">
        <v>431</v>
      </c>
    </row>
    <row r="229" spans="1:2" x14ac:dyDescent="0.25">
      <c r="A229" s="30" t="s">
        <v>201</v>
      </c>
      <c r="B229" s="29">
        <v>23</v>
      </c>
    </row>
    <row r="230" spans="1:2" x14ac:dyDescent="0.25">
      <c r="A230" s="30" t="s">
        <v>169</v>
      </c>
      <c r="B230" s="29">
        <v>22</v>
      </c>
    </row>
    <row r="231" spans="1:2" x14ac:dyDescent="0.25">
      <c r="A231" s="20" t="s">
        <v>552</v>
      </c>
      <c r="B231" s="29">
        <v>346</v>
      </c>
    </row>
    <row r="232" spans="1:2" x14ac:dyDescent="0.25">
      <c r="A232" s="30" t="s">
        <v>211</v>
      </c>
      <c r="B232" s="29">
        <v>3</v>
      </c>
    </row>
    <row r="233" spans="1:2" x14ac:dyDescent="0.25">
      <c r="A233" s="30" t="s">
        <v>164</v>
      </c>
      <c r="B233" s="29">
        <v>22</v>
      </c>
    </row>
    <row r="234" spans="1:2" x14ac:dyDescent="0.25">
      <c r="A234" s="30" t="s">
        <v>186</v>
      </c>
      <c r="B234" s="29">
        <v>321</v>
      </c>
    </row>
    <row r="235" spans="1:2" x14ac:dyDescent="0.25">
      <c r="A235" s="20" t="s">
        <v>557</v>
      </c>
      <c r="B235" s="29">
        <v>455</v>
      </c>
    </row>
    <row r="236" spans="1:2" x14ac:dyDescent="0.25">
      <c r="A236" s="30" t="s">
        <v>148</v>
      </c>
      <c r="B236" s="29">
        <v>421</v>
      </c>
    </row>
    <row r="237" spans="1:2" x14ac:dyDescent="0.25">
      <c r="A237" s="30" t="s">
        <v>212</v>
      </c>
      <c r="B237" s="29">
        <v>12</v>
      </c>
    </row>
    <row r="238" spans="1:2" x14ac:dyDescent="0.25">
      <c r="A238" s="30" t="s">
        <v>165</v>
      </c>
      <c r="B238" s="29">
        <v>22</v>
      </c>
    </row>
    <row r="239" spans="1:2" x14ac:dyDescent="0.25">
      <c r="A239" s="20" t="s">
        <v>512</v>
      </c>
      <c r="B239" s="29">
        <v>87</v>
      </c>
    </row>
    <row r="240" spans="1:2" x14ac:dyDescent="0.25">
      <c r="A240" s="30" t="s">
        <v>180</v>
      </c>
      <c r="B240" s="29">
        <v>12</v>
      </c>
    </row>
    <row r="241" spans="1:2" x14ac:dyDescent="0.25">
      <c r="A241" s="30" t="s">
        <v>157</v>
      </c>
      <c r="B241" s="29">
        <v>43</v>
      </c>
    </row>
    <row r="242" spans="1:2" x14ac:dyDescent="0.25">
      <c r="A242" s="30" t="s">
        <v>207</v>
      </c>
      <c r="B242" s="29">
        <v>32</v>
      </c>
    </row>
    <row r="243" spans="1:2" x14ac:dyDescent="0.25">
      <c r="A243" s="20" t="s">
        <v>56</v>
      </c>
      <c r="B243" s="29">
        <v>97</v>
      </c>
    </row>
    <row r="244" spans="1:2" x14ac:dyDescent="0.25">
      <c r="A244" s="30" t="s">
        <v>169</v>
      </c>
      <c r="B244" s="29">
        <v>22</v>
      </c>
    </row>
    <row r="245" spans="1:2" x14ac:dyDescent="0.25">
      <c r="A245" s="30" t="s">
        <v>151</v>
      </c>
      <c r="B245" s="29">
        <v>32</v>
      </c>
    </row>
    <row r="246" spans="1:2" x14ac:dyDescent="0.25">
      <c r="A246" s="30" t="s">
        <v>186</v>
      </c>
      <c r="B246" s="29">
        <v>43</v>
      </c>
    </row>
    <row r="247" spans="1:2" x14ac:dyDescent="0.25">
      <c r="A247" s="20" t="s">
        <v>50</v>
      </c>
      <c r="B247" s="29">
        <v>884</v>
      </c>
    </row>
    <row r="248" spans="1:2" x14ac:dyDescent="0.25">
      <c r="A248" s="30" t="s">
        <v>148</v>
      </c>
      <c r="B248" s="29">
        <v>12</v>
      </c>
    </row>
    <row r="249" spans="1:2" x14ac:dyDescent="0.25">
      <c r="A249" s="30" t="s">
        <v>146</v>
      </c>
      <c r="B249" s="29">
        <v>343</v>
      </c>
    </row>
    <row r="250" spans="1:2" x14ac:dyDescent="0.25">
      <c r="A250" s="30" t="s">
        <v>195</v>
      </c>
      <c r="B250" s="29">
        <v>43</v>
      </c>
    </row>
    <row r="251" spans="1:2" x14ac:dyDescent="0.25">
      <c r="A251" s="30" t="s">
        <v>176</v>
      </c>
      <c r="B251" s="29">
        <v>22</v>
      </c>
    </row>
    <row r="252" spans="1:2" x14ac:dyDescent="0.25">
      <c r="A252" s="30" t="s">
        <v>211</v>
      </c>
      <c r="B252" s="29">
        <v>32</v>
      </c>
    </row>
    <row r="253" spans="1:2" x14ac:dyDescent="0.25">
      <c r="A253" s="30" t="s">
        <v>164</v>
      </c>
      <c r="B253" s="29">
        <v>432</v>
      </c>
    </row>
    <row r="254" spans="1:2" x14ac:dyDescent="0.25">
      <c r="A254" s="20" t="s">
        <v>100</v>
      </c>
      <c r="B254" s="29">
        <v>87</v>
      </c>
    </row>
    <row r="255" spans="1:2" x14ac:dyDescent="0.25">
      <c r="A255" s="30" t="s">
        <v>196</v>
      </c>
      <c r="B255" s="29">
        <v>23</v>
      </c>
    </row>
    <row r="256" spans="1:2" x14ac:dyDescent="0.25">
      <c r="A256" s="30" t="s">
        <v>166</v>
      </c>
      <c r="B256" s="29">
        <v>64</v>
      </c>
    </row>
    <row r="257" spans="1:2" x14ac:dyDescent="0.25">
      <c r="A257" s="20" t="s">
        <v>535</v>
      </c>
      <c r="B257" s="29">
        <v>375</v>
      </c>
    </row>
    <row r="258" spans="1:2" x14ac:dyDescent="0.25">
      <c r="A258" s="30" t="s">
        <v>161</v>
      </c>
      <c r="B258" s="29">
        <v>22</v>
      </c>
    </row>
    <row r="259" spans="1:2" x14ac:dyDescent="0.25">
      <c r="A259" s="30" t="s">
        <v>185</v>
      </c>
      <c r="B259" s="29">
        <v>341</v>
      </c>
    </row>
    <row r="260" spans="1:2" x14ac:dyDescent="0.25">
      <c r="A260" s="30" t="s">
        <v>208</v>
      </c>
      <c r="B260" s="29">
        <v>12</v>
      </c>
    </row>
    <row r="261" spans="1:2" x14ac:dyDescent="0.25">
      <c r="A261" s="20" t="s">
        <v>661</v>
      </c>
      <c r="B261" s="29">
        <v>286</v>
      </c>
    </row>
    <row r="262" spans="1:2" x14ac:dyDescent="0.25">
      <c r="A262" s="30" t="s">
        <v>202</v>
      </c>
      <c r="B262" s="29">
        <v>233</v>
      </c>
    </row>
    <row r="263" spans="1:2" x14ac:dyDescent="0.25">
      <c r="A263" s="30" t="s">
        <v>181</v>
      </c>
      <c r="B263" s="29">
        <v>53</v>
      </c>
    </row>
    <row r="264" spans="1:2" x14ac:dyDescent="0.25">
      <c r="A264" s="20" t="s">
        <v>693</v>
      </c>
      <c r="B264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23FC-C55B-4187-A816-EAA9816A8DEF}">
  <dimension ref="A3:B262"/>
  <sheetViews>
    <sheetView topLeftCell="A108" zoomScale="15" workbookViewId="0">
      <selection activeCell="CK289" sqref="CK289"/>
    </sheetView>
  </sheetViews>
  <sheetFormatPr defaultRowHeight="15" x14ac:dyDescent="0.25"/>
  <cols>
    <col min="1" max="1" width="55.85546875" bestFit="1" customWidth="1"/>
    <col min="2" max="2" width="34.42578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154</v>
      </c>
      <c r="B4" s="29">
        <v>439</v>
      </c>
    </row>
    <row r="5" spans="1:2" x14ac:dyDescent="0.25">
      <c r="A5" s="30" t="s">
        <v>94</v>
      </c>
      <c r="B5" s="29">
        <v>43</v>
      </c>
    </row>
    <row r="6" spans="1:2" x14ac:dyDescent="0.25">
      <c r="A6" s="30" t="s">
        <v>593</v>
      </c>
      <c r="B6" s="29">
        <v>12</v>
      </c>
    </row>
    <row r="7" spans="1:2" x14ac:dyDescent="0.25">
      <c r="A7" s="30" t="s">
        <v>526</v>
      </c>
      <c r="B7" s="29">
        <v>21</v>
      </c>
    </row>
    <row r="8" spans="1:2" x14ac:dyDescent="0.25">
      <c r="A8" s="30" t="s">
        <v>44</v>
      </c>
      <c r="B8" s="29">
        <v>233</v>
      </c>
    </row>
    <row r="9" spans="1:2" x14ac:dyDescent="0.25">
      <c r="A9" s="30" t="s">
        <v>502</v>
      </c>
      <c r="B9" s="29">
        <v>43</v>
      </c>
    </row>
    <row r="10" spans="1:2" x14ac:dyDescent="0.25">
      <c r="A10" s="30" t="s">
        <v>16</v>
      </c>
      <c r="B10" s="29">
        <v>32</v>
      </c>
    </row>
    <row r="11" spans="1:2" x14ac:dyDescent="0.25">
      <c r="A11" s="30" t="s">
        <v>444</v>
      </c>
      <c r="B11" s="29">
        <v>23</v>
      </c>
    </row>
    <row r="12" spans="1:2" x14ac:dyDescent="0.25">
      <c r="A12" s="30" t="s">
        <v>617</v>
      </c>
      <c r="B12" s="29">
        <v>32</v>
      </c>
    </row>
    <row r="13" spans="1:2" x14ac:dyDescent="0.25">
      <c r="A13" s="20" t="s">
        <v>196</v>
      </c>
      <c r="B13" s="29">
        <v>56</v>
      </c>
    </row>
    <row r="14" spans="1:2" x14ac:dyDescent="0.25">
      <c r="A14" s="30" t="s">
        <v>622</v>
      </c>
      <c r="B14" s="29">
        <v>33</v>
      </c>
    </row>
    <row r="15" spans="1:2" x14ac:dyDescent="0.25">
      <c r="A15" s="30" t="s">
        <v>100</v>
      </c>
      <c r="B15" s="29">
        <v>23</v>
      </c>
    </row>
    <row r="16" spans="1:2" x14ac:dyDescent="0.25">
      <c r="A16" s="20" t="s">
        <v>193</v>
      </c>
      <c r="B16" s="29">
        <v>544</v>
      </c>
    </row>
    <row r="17" spans="1:2" x14ac:dyDescent="0.25">
      <c r="A17" s="30" t="s">
        <v>88</v>
      </c>
      <c r="B17" s="29">
        <v>56</v>
      </c>
    </row>
    <row r="18" spans="1:2" x14ac:dyDescent="0.25">
      <c r="A18" s="30" t="s">
        <v>44</v>
      </c>
      <c r="B18" s="29">
        <v>23</v>
      </c>
    </row>
    <row r="19" spans="1:2" x14ac:dyDescent="0.25">
      <c r="A19" s="30" t="s">
        <v>603</v>
      </c>
      <c r="B19" s="29">
        <v>432</v>
      </c>
    </row>
    <row r="20" spans="1:2" x14ac:dyDescent="0.25">
      <c r="A20" s="30" t="s">
        <v>627</v>
      </c>
      <c r="B20" s="29">
        <v>33</v>
      </c>
    </row>
    <row r="21" spans="1:2" x14ac:dyDescent="0.25">
      <c r="A21" s="20" t="s">
        <v>189</v>
      </c>
      <c r="B21" s="29">
        <v>729</v>
      </c>
    </row>
    <row r="22" spans="1:2" x14ac:dyDescent="0.25">
      <c r="A22" s="30" t="s">
        <v>471</v>
      </c>
      <c r="B22" s="29">
        <v>12</v>
      </c>
    </row>
    <row r="23" spans="1:2" x14ac:dyDescent="0.25">
      <c r="A23" s="30" t="s">
        <v>27</v>
      </c>
      <c r="B23" s="29">
        <v>54</v>
      </c>
    </row>
    <row r="24" spans="1:2" x14ac:dyDescent="0.25">
      <c r="A24" s="30" t="s">
        <v>674</v>
      </c>
      <c r="B24" s="29">
        <v>232</v>
      </c>
    </row>
    <row r="25" spans="1:2" x14ac:dyDescent="0.25">
      <c r="A25" s="30" t="s">
        <v>578</v>
      </c>
      <c r="B25" s="29">
        <v>431</v>
      </c>
    </row>
    <row r="26" spans="1:2" x14ac:dyDescent="0.25">
      <c r="A26" s="20" t="s">
        <v>194</v>
      </c>
      <c r="B26" s="29">
        <v>66</v>
      </c>
    </row>
    <row r="27" spans="1:2" x14ac:dyDescent="0.25">
      <c r="A27" s="30" t="s">
        <v>607</v>
      </c>
      <c r="B27" s="29">
        <v>12</v>
      </c>
    </row>
    <row r="28" spans="1:2" x14ac:dyDescent="0.25">
      <c r="A28" s="30" t="s">
        <v>74</v>
      </c>
      <c r="B28" s="29">
        <v>54</v>
      </c>
    </row>
    <row r="29" spans="1:2" x14ac:dyDescent="0.25">
      <c r="A29" s="20" t="s">
        <v>173</v>
      </c>
      <c r="B29" s="29">
        <v>64</v>
      </c>
    </row>
    <row r="30" spans="1:2" x14ac:dyDescent="0.25">
      <c r="A30" s="30" t="s">
        <v>461</v>
      </c>
      <c r="B30" s="29">
        <v>21</v>
      </c>
    </row>
    <row r="31" spans="1:2" x14ac:dyDescent="0.25">
      <c r="A31" s="30" t="s">
        <v>607</v>
      </c>
      <c r="B31" s="29">
        <v>43</v>
      </c>
    </row>
    <row r="32" spans="1:2" x14ac:dyDescent="0.25">
      <c r="A32" s="20" t="s">
        <v>198</v>
      </c>
      <c r="B32" s="29">
        <v>108</v>
      </c>
    </row>
    <row r="33" spans="1:2" x14ac:dyDescent="0.25">
      <c r="A33" s="30" t="s">
        <v>426</v>
      </c>
      <c r="B33" s="29">
        <v>65</v>
      </c>
    </row>
    <row r="34" spans="1:2" x14ac:dyDescent="0.25">
      <c r="A34" s="30" t="s">
        <v>637</v>
      </c>
      <c r="B34" s="29">
        <v>43</v>
      </c>
    </row>
    <row r="35" spans="1:2" x14ac:dyDescent="0.25">
      <c r="A35" s="20" t="s">
        <v>188</v>
      </c>
      <c r="B35" s="29">
        <v>444</v>
      </c>
    </row>
    <row r="36" spans="1:2" x14ac:dyDescent="0.25">
      <c r="A36" s="30" t="s">
        <v>33</v>
      </c>
      <c r="B36" s="29">
        <v>12</v>
      </c>
    </row>
    <row r="37" spans="1:2" x14ac:dyDescent="0.25">
      <c r="A37" s="30" t="s">
        <v>573</v>
      </c>
      <c r="B37" s="29">
        <v>432</v>
      </c>
    </row>
    <row r="38" spans="1:2" x14ac:dyDescent="0.25">
      <c r="A38" s="20" t="s">
        <v>213</v>
      </c>
      <c r="B38" s="29">
        <v>30</v>
      </c>
    </row>
    <row r="39" spans="1:2" x14ac:dyDescent="0.25">
      <c r="A39" s="30" t="s">
        <v>593</v>
      </c>
      <c r="B39" s="29">
        <v>8</v>
      </c>
    </row>
    <row r="40" spans="1:2" x14ac:dyDescent="0.25">
      <c r="A40" s="30" t="s">
        <v>444</v>
      </c>
      <c r="B40" s="29">
        <v>22</v>
      </c>
    </row>
    <row r="41" spans="1:2" x14ac:dyDescent="0.25">
      <c r="A41" s="20" t="s">
        <v>139</v>
      </c>
      <c r="B41" s="29">
        <v>76</v>
      </c>
    </row>
    <row r="42" spans="1:2" x14ac:dyDescent="0.25">
      <c r="A42" s="30" t="s">
        <v>492</v>
      </c>
      <c r="B42" s="29">
        <v>33</v>
      </c>
    </row>
    <row r="43" spans="1:2" x14ac:dyDescent="0.25">
      <c r="A43" s="30" t="s">
        <v>637</v>
      </c>
      <c r="B43" s="29">
        <v>43</v>
      </c>
    </row>
    <row r="44" spans="1:2" x14ac:dyDescent="0.25">
      <c r="A44" s="20" t="s">
        <v>214</v>
      </c>
      <c r="B44" s="29">
        <v>60</v>
      </c>
    </row>
    <row r="45" spans="1:2" x14ac:dyDescent="0.25">
      <c r="A45" s="30" t="s">
        <v>471</v>
      </c>
      <c r="B45" s="29">
        <v>22</v>
      </c>
    </row>
    <row r="46" spans="1:2" x14ac:dyDescent="0.25">
      <c r="A46" s="30" t="s">
        <v>627</v>
      </c>
      <c r="B46" s="29">
        <v>6</v>
      </c>
    </row>
    <row r="47" spans="1:2" x14ac:dyDescent="0.25">
      <c r="A47" s="30" t="s">
        <v>617</v>
      </c>
      <c r="B47" s="29">
        <v>32</v>
      </c>
    </row>
    <row r="48" spans="1:2" x14ac:dyDescent="0.25">
      <c r="A48" s="20" t="s">
        <v>201</v>
      </c>
      <c r="B48" s="29">
        <v>300</v>
      </c>
    </row>
    <row r="49" spans="1:2" x14ac:dyDescent="0.25">
      <c r="A49" s="30" t="s">
        <v>426</v>
      </c>
      <c r="B49" s="29">
        <v>22</v>
      </c>
    </row>
    <row r="50" spans="1:2" x14ac:dyDescent="0.25">
      <c r="A50" s="30" t="s">
        <v>652</v>
      </c>
      <c r="B50" s="29">
        <v>32</v>
      </c>
    </row>
    <row r="51" spans="1:2" x14ac:dyDescent="0.25">
      <c r="A51" s="30" t="s">
        <v>444</v>
      </c>
      <c r="B51" s="29">
        <v>223</v>
      </c>
    </row>
    <row r="52" spans="1:2" x14ac:dyDescent="0.25">
      <c r="A52" s="30" t="s">
        <v>578</v>
      </c>
      <c r="B52" s="29">
        <v>23</v>
      </c>
    </row>
    <row r="53" spans="1:2" x14ac:dyDescent="0.25">
      <c r="A53" s="20" t="s">
        <v>180</v>
      </c>
      <c r="B53" s="29">
        <v>110</v>
      </c>
    </row>
    <row r="54" spans="1:2" x14ac:dyDescent="0.25">
      <c r="A54" s="30" t="s">
        <v>10</v>
      </c>
      <c r="B54" s="29">
        <v>32</v>
      </c>
    </row>
    <row r="55" spans="1:2" x14ac:dyDescent="0.25">
      <c r="A55" s="30" t="s">
        <v>657</v>
      </c>
      <c r="B55" s="29">
        <v>43</v>
      </c>
    </row>
    <row r="56" spans="1:2" x14ac:dyDescent="0.25">
      <c r="A56" s="30" t="s">
        <v>530</v>
      </c>
      <c r="B56" s="29">
        <v>23</v>
      </c>
    </row>
    <row r="57" spans="1:2" x14ac:dyDescent="0.25">
      <c r="A57" s="30" t="s">
        <v>512</v>
      </c>
      <c r="B57" s="29">
        <v>12</v>
      </c>
    </row>
    <row r="58" spans="1:2" x14ac:dyDescent="0.25">
      <c r="A58" s="20" t="s">
        <v>205</v>
      </c>
      <c r="B58" s="29">
        <v>442</v>
      </c>
    </row>
    <row r="59" spans="1:2" x14ac:dyDescent="0.25">
      <c r="A59" s="30" t="s">
        <v>598</v>
      </c>
      <c r="B59" s="29">
        <v>53</v>
      </c>
    </row>
    <row r="60" spans="1:2" x14ac:dyDescent="0.25">
      <c r="A60" s="30" t="s">
        <v>68</v>
      </c>
      <c r="B60" s="29">
        <v>332</v>
      </c>
    </row>
    <row r="61" spans="1:2" x14ac:dyDescent="0.25">
      <c r="A61" s="30" t="s">
        <v>450</v>
      </c>
      <c r="B61" s="29">
        <v>22</v>
      </c>
    </row>
    <row r="62" spans="1:2" x14ac:dyDescent="0.25">
      <c r="A62" s="30" t="s">
        <v>481</v>
      </c>
      <c r="B62" s="29">
        <v>35</v>
      </c>
    </row>
    <row r="63" spans="1:2" x14ac:dyDescent="0.25">
      <c r="A63" s="20" t="s">
        <v>206</v>
      </c>
      <c r="B63" s="29">
        <v>44</v>
      </c>
    </row>
    <row r="64" spans="1:2" x14ac:dyDescent="0.25">
      <c r="A64" s="30" t="s">
        <v>44</v>
      </c>
      <c r="B64" s="29">
        <v>32</v>
      </c>
    </row>
    <row r="65" spans="1:2" x14ac:dyDescent="0.25">
      <c r="A65" s="30" t="s">
        <v>502</v>
      </c>
      <c r="B65" s="29">
        <v>12</v>
      </c>
    </row>
    <row r="66" spans="1:2" x14ac:dyDescent="0.25">
      <c r="A66" s="20" t="s">
        <v>148</v>
      </c>
      <c r="B66" s="29">
        <v>576</v>
      </c>
    </row>
    <row r="67" spans="1:2" x14ac:dyDescent="0.25">
      <c r="A67" s="30" t="s">
        <v>466</v>
      </c>
      <c r="B67" s="29">
        <v>22</v>
      </c>
    </row>
    <row r="68" spans="1:2" x14ac:dyDescent="0.25">
      <c r="A68" s="30" t="s">
        <v>487</v>
      </c>
      <c r="B68" s="29">
        <v>22</v>
      </c>
    </row>
    <row r="69" spans="1:2" x14ac:dyDescent="0.25">
      <c r="A69" s="30" t="s">
        <v>612</v>
      </c>
      <c r="B69" s="29">
        <v>34</v>
      </c>
    </row>
    <row r="70" spans="1:2" x14ac:dyDescent="0.25">
      <c r="A70" s="30" t="s">
        <v>62</v>
      </c>
      <c r="B70" s="29">
        <v>42</v>
      </c>
    </row>
    <row r="71" spans="1:2" x14ac:dyDescent="0.25">
      <c r="A71" s="30" t="s">
        <v>622</v>
      </c>
      <c r="B71" s="29">
        <v>23</v>
      </c>
    </row>
    <row r="72" spans="1:2" x14ac:dyDescent="0.25">
      <c r="A72" s="30" t="s">
        <v>557</v>
      </c>
      <c r="B72" s="29">
        <v>421</v>
      </c>
    </row>
    <row r="73" spans="1:2" x14ac:dyDescent="0.25">
      <c r="A73" s="30" t="s">
        <v>50</v>
      </c>
      <c r="B73" s="29">
        <v>12</v>
      </c>
    </row>
    <row r="74" spans="1:2" x14ac:dyDescent="0.25">
      <c r="A74" s="20" t="s">
        <v>172</v>
      </c>
      <c r="B74" s="29">
        <v>224</v>
      </c>
    </row>
    <row r="75" spans="1:2" x14ac:dyDescent="0.25">
      <c r="A75" s="30" t="s">
        <v>598</v>
      </c>
      <c r="B75" s="29">
        <v>12</v>
      </c>
    </row>
    <row r="76" spans="1:2" x14ac:dyDescent="0.25">
      <c r="A76" s="30" t="s">
        <v>450</v>
      </c>
      <c r="B76" s="29">
        <v>212</v>
      </c>
    </row>
    <row r="77" spans="1:2" x14ac:dyDescent="0.25">
      <c r="A77" s="20" t="s">
        <v>142</v>
      </c>
      <c r="B77" s="29">
        <v>45</v>
      </c>
    </row>
    <row r="78" spans="1:2" x14ac:dyDescent="0.25">
      <c r="A78" s="30" t="s">
        <v>476</v>
      </c>
      <c r="B78" s="29">
        <v>22</v>
      </c>
    </row>
    <row r="79" spans="1:2" x14ac:dyDescent="0.25">
      <c r="A79" s="30" t="s">
        <v>74</v>
      </c>
      <c r="B79" s="29">
        <v>23</v>
      </c>
    </row>
    <row r="80" spans="1:2" x14ac:dyDescent="0.25">
      <c r="A80" s="20" t="s">
        <v>203</v>
      </c>
      <c r="B80" s="29">
        <v>67</v>
      </c>
    </row>
    <row r="81" spans="1:2" x14ac:dyDescent="0.25">
      <c r="A81" s="30" t="s">
        <v>666</v>
      </c>
      <c r="B81" s="29">
        <v>33</v>
      </c>
    </row>
    <row r="82" spans="1:2" x14ac:dyDescent="0.25">
      <c r="A82" s="30" t="s">
        <v>461</v>
      </c>
      <c r="B82" s="29">
        <v>34</v>
      </c>
    </row>
    <row r="83" spans="1:2" x14ac:dyDescent="0.25">
      <c r="A83" s="20" t="s">
        <v>146</v>
      </c>
      <c r="B83" s="29">
        <v>795</v>
      </c>
    </row>
    <row r="84" spans="1:2" x14ac:dyDescent="0.25">
      <c r="A84" s="30" t="s">
        <v>497</v>
      </c>
      <c r="B84" s="29">
        <v>43</v>
      </c>
    </row>
    <row r="85" spans="1:2" x14ac:dyDescent="0.25">
      <c r="A85" s="30" t="s">
        <v>68</v>
      </c>
      <c r="B85" s="29">
        <v>341</v>
      </c>
    </row>
    <row r="86" spans="1:2" x14ac:dyDescent="0.25">
      <c r="A86" s="30" t="s">
        <v>627</v>
      </c>
      <c r="B86" s="29">
        <v>23</v>
      </c>
    </row>
    <row r="87" spans="1:2" x14ac:dyDescent="0.25">
      <c r="A87" s="30" t="s">
        <v>481</v>
      </c>
      <c r="B87" s="29">
        <v>45</v>
      </c>
    </row>
    <row r="88" spans="1:2" x14ac:dyDescent="0.25">
      <c r="A88" s="30" t="s">
        <v>50</v>
      </c>
      <c r="B88" s="29">
        <v>343</v>
      </c>
    </row>
    <row r="89" spans="1:2" x14ac:dyDescent="0.25">
      <c r="A89" s="20" t="s">
        <v>212</v>
      </c>
      <c r="B89" s="29">
        <v>44</v>
      </c>
    </row>
    <row r="90" spans="1:2" x14ac:dyDescent="0.25">
      <c r="A90" s="30" t="s">
        <v>94</v>
      </c>
      <c r="B90" s="29">
        <v>32</v>
      </c>
    </row>
    <row r="91" spans="1:2" x14ac:dyDescent="0.25">
      <c r="A91" s="30" t="s">
        <v>557</v>
      </c>
      <c r="B91" s="29">
        <v>12</v>
      </c>
    </row>
    <row r="92" spans="1:2" x14ac:dyDescent="0.25">
      <c r="A92" s="20" t="s">
        <v>197</v>
      </c>
      <c r="B92" s="29">
        <v>386</v>
      </c>
    </row>
    <row r="93" spans="1:2" x14ac:dyDescent="0.25">
      <c r="A93" s="30" t="s">
        <v>632</v>
      </c>
      <c r="B93" s="29">
        <v>343</v>
      </c>
    </row>
    <row r="94" spans="1:2" x14ac:dyDescent="0.25">
      <c r="A94" s="30" t="s">
        <v>106</v>
      </c>
      <c r="B94" s="29">
        <v>43</v>
      </c>
    </row>
    <row r="95" spans="1:2" x14ac:dyDescent="0.25">
      <c r="A95" s="20" t="s">
        <v>195</v>
      </c>
      <c r="B95" s="29">
        <v>151</v>
      </c>
    </row>
    <row r="96" spans="1:2" x14ac:dyDescent="0.25">
      <c r="A96" s="30" t="s">
        <v>450</v>
      </c>
      <c r="B96" s="29">
        <v>54</v>
      </c>
    </row>
    <row r="97" spans="1:2" x14ac:dyDescent="0.25">
      <c r="A97" s="30" t="s">
        <v>612</v>
      </c>
      <c r="B97" s="29">
        <v>32</v>
      </c>
    </row>
    <row r="98" spans="1:2" x14ac:dyDescent="0.25">
      <c r="A98" s="30" t="s">
        <v>657</v>
      </c>
      <c r="B98" s="29">
        <v>22</v>
      </c>
    </row>
    <row r="99" spans="1:2" x14ac:dyDescent="0.25">
      <c r="A99" s="30" t="s">
        <v>50</v>
      </c>
      <c r="B99" s="29">
        <v>43</v>
      </c>
    </row>
    <row r="100" spans="1:2" x14ac:dyDescent="0.25">
      <c r="A100" s="20" t="s">
        <v>204</v>
      </c>
      <c r="B100" s="29">
        <v>334</v>
      </c>
    </row>
    <row r="101" spans="1:2" x14ac:dyDescent="0.25">
      <c r="A101" s="30" t="s">
        <v>476</v>
      </c>
      <c r="B101" s="29">
        <v>12</v>
      </c>
    </row>
    <row r="102" spans="1:2" x14ac:dyDescent="0.25">
      <c r="A102" s="30" t="s">
        <v>74</v>
      </c>
      <c r="B102" s="29">
        <v>322</v>
      </c>
    </row>
    <row r="103" spans="1:2" x14ac:dyDescent="0.25">
      <c r="A103" s="20" t="s">
        <v>176</v>
      </c>
      <c r="B103" s="29">
        <v>323</v>
      </c>
    </row>
    <row r="104" spans="1:2" x14ac:dyDescent="0.25">
      <c r="A104" s="30" t="s">
        <v>497</v>
      </c>
      <c r="B104" s="29">
        <v>45</v>
      </c>
    </row>
    <row r="105" spans="1:2" x14ac:dyDescent="0.25">
      <c r="A105" s="30" t="s">
        <v>476</v>
      </c>
      <c r="B105" s="29">
        <v>22</v>
      </c>
    </row>
    <row r="106" spans="1:2" x14ac:dyDescent="0.25">
      <c r="A106" s="30" t="s">
        <v>44</v>
      </c>
      <c r="B106" s="29">
        <v>43</v>
      </c>
    </row>
    <row r="107" spans="1:2" x14ac:dyDescent="0.25">
      <c r="A107" s="30" t="s">
        <v>461</v>
      </c>
      <c r="B107" s="29">
        <v>22</v>
      </c>
    </row>
    <row r="108" spans="1:2" x14ac:dyDescent="0.25">
      <c r="A108" s="30" t="s">
        <v>607</v>
      </c>
      <c r="B108" s="29">
        <v>23</v>
      </c>
    </row>
    <row r="109" spans="1:2" x14ac:dyDescent="0.25">
      <c r="A109" s="30" t="s">
        <v>562</v>
      </c>
      <c r="B109" s="29">
        <v>123</v>
      </c>
    </row>
    <row r="110" spans="1:2" x14ac:dyDescent="0.25">
      <c r="A110" s="30" t="s">
        <v>622</v>
      </c>
      <c r="B110" s="29">
        <v>23</v>
      </c>
    </row>
    <row r="111" spans="1:2" x14ac:dyDescent="0.25">
      <c r="A111" s="30" t="s">
        <v>50</v>
      </c>
      <c r="B111" s="29">
        <v>22</v>
      </c>
    </row>
    <row r="112" spans="1:2" x14ac:dyDescent="0.25">
      <c r="A112" s="20" t="s">
        <v>202</v>
      </c>
      <c r="B112" s="29">
        <v>265</v>
      </c>
    </row>
    <row r="113" spans="1:2" x14ac:dyDescent="0.25">
      <c r="A113" s="30" t="s">
        <v>456</v>
      </c>
      <c r="B113" s="29">
        <v>32</v>
      </c>
    </row>
    <row r="114" spans="1:2" x14ac:dyDescent="0.25">
      <c r="A114" s="30" t="s">
        <v>661</v>
      </c>
      <c r="B114" s="29">
        <v>233</v>
      </c>
    </row>
    <row r="115" spans="1:2" x14ac:dyDescent="0.25">
      <c r="A115" s="20" t="s">
        <v>162</v>
      </c>
      <c r="B115" s="29">
        <v>918</v>
      </c>
    </row>
    <row r="116" spans="1:2" x14ac:dyDescent="0.25">
      <c r="A116" s="30" t="s">
        <v>540</v>
      </c>
      <c r="B116" s="29">
        <v>22</v>
      </c>
    </row>
    <row r="117" spans="1:2" x14ac:dyDescent="0.25">
      <c r="A117" s="30" t="s">
        <v>88</v>
      </c>
      <c r="B117" s="29">
        <v>432</v>
      </c>
    </row>
    <row r="118" spans="1:2" x14ac:dyDescent="0.25">
      <c r="A118" s="30" t="s">
        <v>546</v>
      </c>
      <c r="B118" s="29">
        <v>34</v>
      </c>
    </row>
    <row r="119" spans="1:2" x14ac:dyDescent="0.25">
      <c r="A119" s="30" t="s">
        <v>62</v>
      </c>
      <c r="B119" s="29">
        <v>87</v>
      </c>
    </row>
    <row r="120" spans="1:2" x14ac:dyDescent="0.25">
      <c r="A120" s="30" t="s">
        <v>74</v>
      </c>
      <c r="B120" s="29">
        <v>343</v>
      </c>
    </row>
    <row r="121" spans="1:2" x14ac:dyDescent="0.25">
      <c r="A121" s="20" t="s">
        <v>190</v>
      </c>
      <c r="B121" s="29">
        <v>44</v>
      </c>
    </row>
    <row r="122" spans="1:2" x14ac:dyDescent="0.25">
      <c r="A122" s="30" t="s">
        <v>588</v>
      </c>
      <c r="B122" s="29">
        <v>12</v>
      </c>
    </row>
    <row r="123" spans="1:2" x14ac:dyDescent="0.25">
      <c r="A123" s="30" t="s">
        <v>16</v>
      </c>
      <c r="B123" s="29">
        <v>32</v>
      </c>
    </row>
    <row r="124" spans="1:2" x14ac:dyDescent="0.25">
      <c r="A124" s="20" t="s">
        <v>187</v>
      </c>
      <c r="B124" s="29">
        <v>155</v>
      </c>
    </row>
    <row r="125" spans="1:2" x14ac:dyDescent="0.25">
      <c r="A125" s="30" t="s">
        <v>567</v>
      </c>
      <c r="B125" s="29">
        <v>123</v>
      </c>
    </row>
    <row r="126" spans="1:2" x14ac:dyDescent="0.25">
      <c r="A126" s="30" t="s">
        <v>38</v>
      </c>
      <c r="B126" s="29">
        <v>32</v>
      </c>
    </row>
    <row r="127" spans="1:2" x14ac:dyDescent="0.25">
      <c r="A127" s="20" t="s">
        <v>170</v>
      </c>
      <c r="B127" s="29">
        <v>481</v>
      </c>
    </row>
    <row r="128" spans="1:2" x14ac:dyDescent="0.25">
      <c r="A128" s="30" t="s">
        <v>21</v>
      </c>
      <c r="B128" s="29">
        <v>23</v>
      </c>
    </row>
    <row r="129" spans="1:2" x14ac:dyDescent="0.25">
      <c r="A129" s="30" t="s">
        <v>583</v>
      </c>
      <c r="B129" s="29">
        <v>424</v>
      </c>
    </row>
    <row r="130" spans="1:2" x14ac:dyDescent="0.25">
      <c r="A130" s="30" t="s">
        <v>432</v>
      </c>
      <c r="B130" s="29">
        <v>34</v>
      </c>
    </row>
    <row r="131" spans="1:2" x14ac:dyDescent="0.25">
      <c r="A131" s="20" t="s">
        <v>169</v>
      </c>
      <c r="B131" s="29">
        <v>102</v>
      </c>
    </row>
    <row r="132" spans="1:2" x14ac:dyDescent="0.25">
      <c r="A132" s="30" t="s">
        <v>426</v>
      </c>
      <c r="B132" s="29">
        <v>34</v>
      </c>
    </row>
    <row r="133" spans="1:2" x14ac:dyDescent="0.25">
      <c r="A133" s="30" t="s">
        <v>492</v>
      </c>
      <c r="B133" s="29">
        <v>24</v>
      </c>
    </row>
    <row r="134" spans="1:2" x14ac:dyDescent="0.25">
      <c r="A134" s="30" t="s">
        <v>578</v>
      </c>
      <c r="B134" s="29">
        <v>22</v>
      </c>
    </row>
    <row r="135" spans="1:2" x14ac:dyDescent="0.25">
      <c r="A135" s="30" t="s">
        <v>56</v>
      </c>
      <c r="B135" s="29">
        <v>22</v>
      </c>
    </row>
    <row r="136" spans="1:2" x14ac:dyDescent="0.25">
      <c r="A136" s="20" t="s">
        <v>191</v>
      </c>
      <c r="B136" s="29">
        <v>86</v>
      </c>
    </row>
    <row r="137" spans="1:2" x14ac:dyDescent="0.25">
      <c r="A137" s="30" t="s">
        <v>10</v>
      </c>
      <c r="B137" s="29">
        <v>43</v>
      </c>
    </row>
    <row r="138" spans="1:2" x14ac:dyDescent="0.25">
      <c r="A138" s="30" t="s">
        <v>593</v>
      </c>
      <c r="B138" s="29">
        <v>43</v>
      </c>
    </row>
    <row r="139" spans="1:2" x14ac:dyDescent="0.25">
      <c r="A139" s="20" t="s">
        <v>166</v>
      </c>
      <c r="B139" s="29">
        <v>199</v>
      </c>
    </row>
    <row r="140" spans="1:2" x14ac:dyDescent="0.25">
      <c r="A140" s="30" t="s">
        <v>652</v>
      </c>
      <c r="B140" s="29">
        <v>43</v>
      </c>
    </row>
    <row r="141" spans="1:2" x14ac:dyDescent="0.25">
      <c r="A141" s="30" t="s">
        <v>21</v>
      </c>
      <c r="B141" s="29">
        <v>32</v>
      </c>
    </row>
    <row r="142" spans="1:2" x14ac:dyDescent="0.25">
      <c r="A142" s="30" t="s">
        <v>522</v>
      </c>
      <c r="B142" s="29">
        <v>12</v>
      </c>
    </row>
    <row r="143" spans="1:2" x14ac:dyDescent="0.25">
      <c r="A143" s="30" t="s">
        <v>507</v>
      </c>
      <c r="B143" s="29">
        <v>23</v>
      </c>
    </row>
    <row r="144" spans="1:2" x14ac:dyDescent="0.25">
      <c r="A144" s="30" t="s">
        <v>562</v>
      </c>
      <c r="B144" s="29">
        <v>25</v>
      </c>
    </row>
    <row r="145" spans="1:2" x14ac:dyDescent="0.25">
      <c r="A145" s="30" t="s">
        <v>100</v>
      </c>
      <c r="B145" s="29">
        <v>64</v>
      </c>
    </row>
    <row r="146" spans="1:2" x14ac:dyDescent="0.25">
      <c r="A146" s="20" t="s">
        <v>210</v>
      </c>
      <c r="B146" s="29">
        <v>35</v>
      </c>
    </row>
    <row r="147" spans="1:2" x14ac:dyDescent="0.25">
      <c r="A147" s="30" t="s">
        <v>546</v>
      </c>
      <c r="B147" s="29">
        <v>3</v>
      </c>
    </row>
    <row r="148" spans="1:2" x14ac:dyDescent="0.25">
      <c r="A148" s="30" t="s">
        <v>74</v>
      </c>
      <c r="B148" s="29">
        <v>32</v>
      </c>
    </row>
    <row r="149" spans="1:2" x14ac:dyDescent="0.25">
      <c r="A149" s="20" t="s">
        <v>184</v>
      </c>
      <c r="B149" s="29">
        <v>489</v>
      </c>
    </row>
    <row r="150" spans="1:2" x14ac:dyDescent="0.25">
      <c r="A150" s="30" t="s">
        <v>530</v>
      </c>
      <c r="B150" s="29">
        <v>412</v>
      </c>
    </row>
    <row r="151" spans="1:2" x14ac:dyDescent="0.25">
      <c r="A151" s="30" t="s">
        <v>674</v>
      </c>
      <c r="B151" s="29">
        <v>77</v>
      </c>
    </row>
    <row r="152" spans="1:2" x14ac:dyDescent="0.25">
      <c r="A152" s="20" t="s">
        <v>159</v>
      </c>
      <c r="B152" s="29">
        <v>276</v>
      </c>
    </row>
    <row r="153" spans="1:2" x14ac:dyDescent="0.25">
      <c r="A153" s="30" t="s">
        <v>526</v>
      </c>
      <c r="B153" s="29">
        <v>43</v>
      </c>
    </row>
    <row r="154" spans="1:2" x14ac:dyDescent="0.25">
      <c r="A154" s="30" t="s">
        <v>16</v>
      </c>
      <c r="B154" s="29">
        <v>233</v>
      </c>
    </row>
    <row r="155" spans="1:2" x14ac:dyDescent="0.25">
      <c r="A155" s="20" t="s">
        <v>174</v>
      </c>
      <c r="B155" s="29">
        <v>54</v>
      </c>
    </row>
    <row r="156" spans="1:2" x14ac:dyDescent="0.25">
      <c r="A156" s="30" t="s">
        <v>466</v>
      </c>
      <c r="B156" s="29">
        <v>12</v>
      </c>
    </row>
    <row r="157" spans="1:2" x14ac:dyDescent="0.25">
      <c r="A157" s="30" t="s">
        <v>612</v>
      </c>
      <c r="B157" s="29">
        <v>42</v>
      </c>
    </row>
    <row r="158" spans="1:2" x14ac:dyDescent="0.25">
      <c r="A158" s="20" t="s">
        <v>133</v>
      </c>
      <c r="B158" s="29">
        <v>45</v>
      </c>
    </row>
    <row r="159" spans="1:2" x14ac:dyDescent="0.25">
      <c r="A159" s="30" t="s">
        <v>487</v>
      </c>
      <c r="B159" s="29">
        <v>23</v>
      </c>
    </row>
    <row r="160" spans="1:2" x14ac:dyDescent="0.25">
      <c r="A160" s="30" t="s">
        <v>62</v>
      </c>
      <c r="B160" s="29">
        <v>22</v>
      </c>
    </row>
    <row r="161" spans="1:2" x14ac:dyDescent="0.25">
      <c r="A161" s="20" t="s">
        <v>183</v>
      </c>
      <c r="B161" s="29">
        <v>199</v>
      </c>
    </row>
    <row r="162" spans="1:2" x14ac:dyDescent="0.25">
      <c r="A162" s="30" t="s">
        <v>670</v>
      </c>
      <c r="B162" s="29">
        <v>76</v>
      </c>
    </row>
    <row r="163" spans="1:2" x14ac:dyDescent="0.25">
      <c r="A163" s="30" t="s">
        <v>526</v>
      </c>
      <c r="B163" s="29">
        <v>123</v>
      </c>
    </row>
    <row r="164" spans="1:2" x14ac:dyDescent="0.25">
      <c r="A164" s="20" t="s">
        <v>151</v>
      </c>
      <c r="B164" s="29">
        <v>75</v>
      </c>
    </row>
    <row r="165" spans="1:2" x14ac:dyDescent="0.25">
      <c r="A165" s="30" t="s">
        <v>492</v>
      </c>
      <c r="B165" s="29">
        <v>43</v>
      </c>
    </row>
    <row r="166" spans="1:2" x14ac:dyDescent="0.25">
      <c r="A166" s="30" t="s">
        <v>56</v>
      </c>
      <c r="B166" s="29">
        <v>32</v>
      </c>
    </row>
    <row r="167" spans="1:2" x14ac:dyDescent="0.25">
      <c r="A167" s="20" t="s">
        <v>192</v>
      </c>
      <c r="B167" s="29">
        <v>57</v>
      </c>
    </row>
    <row r="168" spans="1:2" x14ac:dyDescent="0.25">
      <c r="A168" s="30" t="s">
        <v>598</v>
      </c>
      <c r="B168" s="29">
        <v>34</v>
      </c>
    </row>
    <row r="169" spans="1:2" x14ac:dyDescent="0.25">
      <c r="A169" s="30" t="s">
        <v>83</v>
      </c>
      <c r="B169" s="29">
        <v>23</v>
      </c>
    </row>
    <row r="170" spans="1:2" x14ac:dyDescent="0.25">
      <c r="A170" s="20" t="s">
        <v>160</v>
      </c>
      <c r="B170" s="29">
        <v>385</v>
      </c>
    </row>
    <row r="171" spans="1:2" x14ac:dyDescent="0.25">
      <c r="A171" s="30" t="s">
        <v>10</v>
      </c>
      <c r="B171" s="29">
        <v>342</v>
      </c>
    </row>
    <row r="172" spans="1:2" x14ac:dyDescent="0.25">
      <c r="A172" s="30" t="s">
        <v>530</v>
      </c>
      <c r="B172" s="29">
        <v>43</v>
      </c>
    </row>
    <row r="173" spans="1:2" x14ac:dyDescent="0.25">
      <c r="A173" s="20" t="s">
        <v>168</v>
      </c>
      <c r="B173" s="29">
        <v>326</v>
      </c>
    </row>
    <row r="174" spans="1:2" x14ac:dyDescent="0.25">
      <c r="A174" s="30" t="s">
        <v>466</v>
      </c>
      <c r="B174" s="29">
        <v>12</v>
      </c>
    </row>
    <row r="175" spans="1:2" x14ac:dyDescent="0.25">
      <c r="A175" s="30" t="s">
        <v>670</v>
      </c>
      <c r="B175" s="29">
        <v>232</v>
      </c>
    </row>
    <row r="176" spans="1:2" x14ac:dyDescent="0.25">
      <c r="A176" s="30" t="s">
        <v>106</v>
      </c>
      <c r="B176" s="29">
        <v>32</v>
      </c>
    </row>
    <row r="177" spans="1:2" x14ac:dyDescent="0.25">
      <c r="A177" s="30" t="s">
        <v>573</v>
      </c>
      <c r="B177" s="29">
        <v>22</v>
      </c>
    </row>
    <row r="178" spans="1:2" x14ac:dyDescent="0.25">
      <c r="A178" s="30" t="s">
        <v>583</v>
      </c>
      <c r="B178" s="29">
        <v>6</v>
      </c>
    </row>
    <row r="179" spans="1:2" x14ac:dyDescent="0.25">
      <c r="A179" s="30" t="s">
        <v>432</v>
      </c>
      <c r="B179" s="29">
        <v>22</v>
      </c>
    </row>
    <row r="180" spans="1:2" x14ac:dyDescent="0.25">
      <c r="A180" s="20" t="s">
        <v>181</v>
      </c>
      <c r="B180" s="29">
        <v>64</v>
      </c>
    </row>
    <row r="181" spans="1:2" x14ac:dyDescent="0.25">
      <c r="A181" s="30" t="s">
        <v>517</v>
      </c>
      <c r="B181" s="29">
        <v>11</v>
      </c>
    </row>
    <row r="182" spans="1:2" x14ac:dyDescent="0.25">
      <c r="A182" s="30" t="s">
        <v>661</v>
      </c>
      <c r="B182" s="29">
        <v>53</v>
      </c>
    </row>
    <row r="183" spans="1:2" x14ac:dyDescent="0.25">
      <c r="A183" s="20" t="s">
        <v>167</v>
      </c>
      <c r="B183" s="29">
        <v>218</v>
      </c>
    </row>
    <row r="184" spans="1:2" x14ac:dyDescent="0.25">
      <c r="A184" s="30" t="s">
        <v>567</v>
      </c>
      <c r="B184" s="29">
        <v>22</v>
      </c>
    </row>
    <row r="185" spans="1:2" x14ac:dyDescent="0.25">
      <c r="A185" s="30" t="s">
        <v>44</v>
      </c>
      <c r="B185" s="29">
        <v>43</v>
      </c>
    </row>
    <row r="186" spans="1:2" x14ac:dyDescent="0.25">
      <c r="A186" s="30" t="s">
        <v>507</v>
      </c>
      <c r="B186" s="29">
        <v>121</v>
      </c>
    </row>
    <row r="187" spans="1:2" x14ac:dyDescent="0.25">
      <c r="A187" s="30" t="s">
        <v>38</v>
      </c>
      <c r="B187" s="29">
        <v>32</v>
      </c>
    </row>
    <row r="188" spans="1:2" x14ac:dyDescent="0.25">
      <c r="A188" s="20" t="s">
        <v>158</v>
      </c>
      <c r="B188" s="29">
        <v>607</v>
      </c>
    </row>
    <row r="189" spans="1:2" x14ac:dyDescent="0.25">
      <c r="A189" s="30" t="s">
        <v>517</v>
      </c>
      <c r="B189" s="29">
        <v>46</v>
      </c>
    </row>
    <row r="190" spans="1:2" x14ac:dyDescent="0.25">
      <c r="A190" s="30" t="s">
        <v>456</v>
      </c>
      <c r="B190" s="29">
        <v>22</v>
      </c>
    </row>
    <row r="191" spans="1:2" x14ac:dyDescent="0.25">
      <c r="A191" s="30" t="s">
        <v>603</v>
      </c>
      <c r="B191" s="29">
        <v>75</v>
      </c>
    </row>
    <row r="192" spans="1:2" x14ac:dyDescent="0.25">
      <c r="A192" s="30" t="s">
        <v>27</v>
      </c>
      <c r="B192" s="29">
        <v>464</v>
      </c>
    </row>
    <row r="193" spans="1:2" x14ac:dyDescent="0.25">
      <c r="A193" s="20" t="s">
        <v>211</v>
      </c>
      <c r="B193" s="29">
        <v>35</v>
      </c>
    </row>
    <row r="194" spans="1:2" x14ac:dyDescent="0.25">
      <c r="A194" s="30" t="s">
        <v>552</v>
      </c>
      <c r="B194" s="29">
        <v>3</v>
      </c>
    </row>
    <row r="195" spans="1:2" x14ac:dyDescent="0.25">
      <c r="A195" s="30" t="s">
        <v>50</v>
      </c>
      <c r="B195" s="29">
        <v>32</v>
      </c>
    </row>
    <row r="196" spans="1:2" x14ac:dyDescent="0.25">
      <c r="A196" s="20" t="s">
        <v>199</v>
      </c>
      <c r="B196" s="29">
        <v>65</v>
      </c>
    </row>
    <row r="197" spans="1:2" x14ac:dyDescent="0.25">
      <c r="A197" s="30" t="s">
        <v>432</v>
      </c>
      <c r="B197" s="29">
        <v>43</v>
      </c>
    </row>
    <row r="198" spans="1:2" x14ac:dyDescent="0.25">
      <c r="A198" s="30" t="s">
        <v>642</v>
      </c>
      <c r="B198" s="29">
        <v>22</v>
      </c>
    </row>
    <row r="199" spans="1:2" x14ac:dyDescent="0.25">
      <c r="A199" s="20" t="s">
        <v>157</v>
      </c>
      <c r="B199" s="29">
        <v>166</v>
      </c>
    </row>
    <row r="200" spans="1:2" x14ac:dyDescent="0.25">
      <c r="A200" s="30" t="s">
        <v>33</v>
      </c>
      <c r="B200" s="29">
        <v>123</v>
      </c>
    </row>
    <row r="201" spans="1:2" x14ac:dyDescent="0.25">
      <c r="A201" s="30" t="s">
        <v>512</v>
      </c>
      <c r="B201" s="29">
        <v>43</v>
      </c>
    </row>
    <row r="202" spans="1:2" x14ac:dyDescent="0.25">
      <c r="A202" s="20" t="s">
        <v>161</v>
      </c>
      <c r="B202" s="29">
        <v>345</v>
      </c>
    </row>
    <row r="203" spans="1:2" x14ac:dyDescent="0.25">
      <c r="A203" s="30" t="s">
        <v>83</v>
      </c>
      <c r="B203" s="29">
        <v>323</v>
      </c>
    </row>
    <row r="204" spans="1:2" x14ac:dyDescent="0.25">
      <c r="A204" s="30" t="s">
        <v>535</v>
      </c>
      <c r="B204" s="29">
        <v>22</v>
      </c>
    </row>
    <row r="205" spans="1:2" x14ac:dyDescent="0.25">
      <c r="A205" s="20" t="s">
        <v>179</v>
      </c>
      <c r="B205" s="29">
        <v>77</v>
      </c>
    </row>
    <row r="206" spans="1:2" x14ac:dyDescent="0.25">
      <c r="A206" s="30" t="s">
        <v>647</v>
      </c>
      <c r="B206" s="29">
        <v>54</v>
      </c>
    </row>
    <row r="207" spans="1:2" x14ac:dyDescent="0.25">
      <c r="A207" s="30" t="s">
        <v>502</v>
      </c>
      <c r="B207" s="29">
        <v>23</v>
      </c>
    </row>
    <row r="208" spans="1:2" x14ac:dyDescent="0.25">
      <c r="A208" s="20" t="s">
        <v>185</v>
      </c>
      <c r="B208" s="29">
        <v>349</v>
      </c>
    </row>
    <row r="209" spans="1:2" x14ac:dyDescent="0.25">
      <c r="A209" s="30" t="s">
        <v>74</v>
      </c>
      <c r="B209" s="29">
        <v>8</v>
      </c>
    </row>
    <row r="210" spans="1:2" x14ac:dyDescent="0.25">
      <c r="A210" s="30" t="s">
        <v>535</v>
      </c>
      <c r="B210" s="29">
        <v>341</v>
      </c>
    </row>
    <row r="211" spans="1:2" x14ac:dyDescent="0.25">
      <c r="A211" s="20" t="s">
        <v>175</v>
      </c>
      <c r="B211" s="29">
        <v>35</v>
      </c>
    </row>
    <row r="212" spans="1:2" x14ac:dyDescent="0.25">
      <c r="A212" s="30" t="s">
        <v>471</v>
      </c>
      <c r="B212" s="29">
        <v>23</v>
      </c>
    </row>
    <row r="213" spans="1:2" x14ac:dyDescent="0.25">
      <c r="A213" s="30" t="s">
        <v>617</v>
      </c>
      <c r="B213" s="29">
        <v>12</v>
      </c>
    </row>
    <row r="214" spans="1:2" x14ac:dyDescent="0.25">
      <c r="A214" s="20" t="s">
        <v>208</v>
      </c>
      <c r="B214" s="29">
        <v>44</v>
      </c>
    </row>
    <row r="215" spans="1:2" x14ac:dyDescent="0.25">
      <c r="A215" s="30" t="s">
        <v>83</v>
      </c>
      <c r="B215" s="29">
        <v>32</v>
      </c>
    </row>
    <row r="216" spans="1:2" x14ac:dyDescent="0.25">
      <c r="A216" s="30" t="s">
        <v>535</v>
      </c>
      <c r="B216" s="29">
        <v>12</v>
      </c>
    </row>
    <row r="217" spans="1:2" x14ac:dyDescent="0.25">
      <c r="A217" s="20" t="s">
        <v>209</v>
      </c>
      <c r="B217" s="29">
        <v>54</v>
      </c>
    </row>
    <row r="218" spans="1:2" x14ac:dyDescent="0.25">
      <c r="A218" s="30" t="s">
        <v>540</v>
      </c>
      <c r="B218" s="29">
        <v>22</v>
      </c>
    </row>
    <row r="219" spans="1:2" x14ac:dyDescent="0.25">
      <c r="A219" s="30" t="s">
        <v>88</v>
      </c>
      <c r="B219" s="29">
        <v>32</v>
      </c>
    </row>
    <row r="220" spans="1:2" x14ac:dyDescent="0.25">
      <c r="A220" s="20" t="s">
        <v>164</v>
      </c>
      <c r="B220" s="29">
        <v>454</v>
      </c>
    </row>
    <row r="221" spans="1:2" x14ac:dyDescent="0.25">
      <c r="A221" s="30" t="s">
        <v>552</v>
      </c>
      <c r="B221" s="29">
        <v>22</v>
      </c>
    </row>
    <row r="222" spans="1:2" x14ac:dyDescent="0.25">
      <c r="A222" s="30" t="s">
        <v>50</v>
      </c>
      <c r="B222" s="29">
        <v>432</v>
      </c>
    </row>
    <row r="223" spans="1:2" x14ac:dyDescent="0.25">
      <c r="A223" s="20" t="s">
        <v>207</v>
      </c>
      <c r="B223" s="29">
        <v>64</v>
      </c>
    </row>
    <row r="224" spans="1:2" x14ac:dyDescent="0.25">
      <c r="A224" s="30" t="s">
        <v>33</v>
      </c>
      <c r="B224" s="29">
        <v>32</v>
      </c>
    </row>
    <row r="225" spans="1:2" x14ac:dyDescent="0.25">
      <c r="A225" s="30" t="s">
        <v>512</v>
      </c>
      <c r="B225" s="29">
        <v>32</v>
      </c>
    </row>
    <row r="226" spans="1:2" x14ac:dyDescent="0.25">
      <c r="A226" s="20" t="s">
        <v>186</v>
      </c>
      <c r="B226" s="29">
        <v>428</v>
      </c>
    </row>
    <row r="227" spans="1:2" x14ac:dyDescent="0.25">
      <c r="A227" s="30" t="s">
        <v>588</v>
      </c>
      <c r="B227" s="29">
        <v>42</v>
      </c>
    </row>
    <row r="228" spans="1:2" x14ac:dyDescent="0.25">
      <c r="A228" s="30" t="s">
        <v>438</v>
      </c>
      <c r="B228" s="29">
        <v>22</v>
      </c>
    </row>
    <row r="229" spans="1:2" x14ac:dyDescent="0.25">
      <c r="A229" s="30" t="s">
        <v>552</v>
      </c>
      <c r="B229" s="29">
        <v>321</v>
      </c>
    </row>
    <row r="230" spans="1:2" x14ac:dyDescent="0.25">
      <c r="A230" s="30" t="s">
        <v>56</v>
      </c>
      <c r="B230" s="29">
        <v>43</v>
      </c>
    </row>
    <row r="231" spans="1:2" x14ac:dyDescent="0.25">
      <c r="A231" s="20" t="s">
        <v>165</v>
      </c>
      <c r="B231" s="29">
        <v>346</v>
      </c>
    </row>
    <row r="232" spans="1:2" x14ac:dyDescent="0.25">
      <c r="A232" s="30" t="s">
        <v>94</v>
      </c>
      <c r="B232" s="29">
        <v>324</v>
      </c>
    </row>
    <row r="233" spans="1:2" x14ac:dyDescent="0.25">
      <c r="A233" s="30" t="s">
        <v>557</v>
      </c>
      <c r="B233" s="29">
        <v>22</v>
      </c>
    </row>
    <row r="234" spans="1:2" x14ac:dyDescent="0.25">
      <c r="A234" s="20" t="s">
        <v>178</v>
      </c>
      <c r="B234" s="29">
        <v>177</v>
      </c>
    </row>
    <row r="235" spans="1:2" x14ac:dyDescent="0.25">
      <c r="A235" s="30" t="s">
        <v>540</v>
      </c>
      <c r="B235" s="29">
        <v>23</v>
      </c>
    </row>
    <row r="236" spans="1:2" x14ac:dyDescent="0.25">
      <c r="A236" s="30" t="s">
        <v>497</v>
      </c>
      <c r="B236" s="29">
        <v>12</v>
      </c>
    </row>
    <row r="237" spans="1:2" x14ac:dyDescent="0.25">
      <c r="A237" s="30" t="s">
        <v>68</v>
      </c>
      <c r="B237" s="29">
        <v>45</v>
      </c>
    </row>
    <row r="238" spans="1:2" x14ac:dyDescent="0.25">
      <c r="A238" s="30" t="s">
        <v>106</v>
      </c>
      <c r="B238" s="29">
        <v>22</v>
      </c>
    </row>
    <row r="239" spans="1:2" x14ac:dyDescent="0.25">
      <c r="A239" s="30" t="s">
        <v>573</v>
      </c>
      <c r="B239" s="29">
        <v>43</v>
      </c>
    </row>
    <row r="240" spans="1:2" x14ac:dyDescent="0.25">
      <c r="A240" s="30" t="s">
        <v>642</v>
      </c>
      <c r="B240" s="29">
        <v>32</v>
      </c>
    </row>
    <row r="241" spans="1:2" x14ac:dyDescent="0.25">
      <c r="A241" s="20" t="s">
        <v>156</v>
      </c>
      <c r="B241" s="29">
        <v>543</v>
      </c>
    </row>
    <row r="242" spans="1:2" x14ac:dyDescent="0.25">
      <c r="A242" s="30" t="s">
        <v>21</v>
      </c>
      <c r="B242" s="29">
        <v>223</v>
      </c>
    </row>
    <row r="243" spans="1:2" x14ac:dyDescent="0.25">
      <c r="A243" s="30" t="s">
        <v>522</v>
      </c>
      <c r="B243" s="29">
        <v>43</v>
      </c>
    </row>
    <row r="244" spans="1:2" x14ac:dyDescent="0.25">
      <c r="A244" s="30" t="s">
        <v>507</v>
      </c>
      <c r="B244" s="29">
        <v>43</v>
      </c>
    </row>
    <row r="245" spans="1:2" x14ac:dyDescent="0.25">
      <c r="A245" s="30" t="s">
        <v>38</v>
      </c>
      <c r="B245" s="29">
        <v>234</v>
      </c>
    </row>
    <row r="246" spans="1:2" x14ac:dyDescent="0.25">
      <c r="A246" s="20" t="s">
        <v>177</v>
      </c>
      <c r="B246" s="29">
        <v>55</v>
      </c>
    </row>
    <row r="247" spans="1:2" x14ac:dyDescent="0.25">
      <c r="A247" s="30" t="s">
        <v>632</v>
      </c>
      <c r="B247" s="29">
        <v>32</v>
      </c>
    </row>
    <row r="248" spans="1:2" x14ac:dyDescent="0.25">
      <c r="A248" s="30" t="s">
        <v>487</v>
      </c>
      <c r="B248" s="29">
        <v>23</v>
      </c>
    </row>
    <row r="249" spans="1:2" x14ac:dyDescent="0.25">
      <c r="A249" s="20" t="s">
        <v>182</v>
      </c>
      <c r="B249" s="29">
        <v>129</v>
      </c>
    </row>
    <row r="250" spans="1:2" x14ac:dyDescent="0.25">
      <c r="A250" s="30" t="s">
        <v>567</v>
      </c>
      <c r="B250" s="29">
        <v>12</v>
      </c>
    </row>
    <row r="251" spans="1:2" x14ac:dyDescent="0.25">
      <c r="A251" s="30" t="s">
        <v>666</v>
      </c>
      <c r="B251" s="29">
        <v>84</v>
      </c>
    </row>
    <row r="252" spans="1:2" x14ac:dyDescent="0.25">
      <c r="A252" s="30" t="s">
        <v>44</v>
      </c>
      <c r="B252" s="29">
        <v>22</v>
      </c>
    </row>
    <row r="253" spans="1:2" x14ac:dyDescent="0.25">
      <c r="A253" s="30" t="s">
        <v>522</v>
      </c>
      <c r="B253" s="29">
        <v>11</v>
      </c>
    </row>
    <row r="254" spans="1:2" x14ac:dyDescent="0.25">
      <c r="A254" s="20" t="s">
        <v>171</v>
      </c>
      <c r="B254" s="29">
        <v>99</v>
      </c>
    </row>
    <row r="255" spans="1:2" x14ac:dyDescent="0.25">
      <c r="A255" s="30" t="s">
        <v>588</v>
      </c>
      <c r="B255" s="29">
        <v>12</v>
      </c>
    </row>
    <row r="256" spans="1:2" x14ac:dyDescent="0.25">
      <c r="A256" s="30" t="s">
        <v>456</v>
      </c>
      <c r="B256" s="29">
        <v>32</v>
      </c>
    </row>
    <row r="257" spans="1:2" x14ac:dyDescent="0.25">
      <c r="A257" s="30" t="s">
        <v>603</v>
      </c>
      <c r="B257" s="29">
        <v>43</v>
      </c>
    </row>
    <row r="258" spans="1:2" x14ac:dyDescent="0.25">
      <c r="A258" s="30" t="s">
        <v>438</v>
      </c>
      <c r="B258" s="29">
        <v>12</v>
      </c>
    </row>
    <row r="259" spans="1:2" x14ac:dyDescent="0.25">
      <c r="A259" s="20" t="s">
        <v>200</v>
      </c>
      <c r="B259" s="29">
        <v>266</v>
      </c>
    </row>
    <row r="260" spans="1:2" x14ac:dyDescent="0.25">
      <c r="A260" s="30" t="s">
        <v>647</v>
      </c>
      <c r="B260" s="29">
        <v>212</v>
      </c>
    </row>
    <row r="261" spans="1:2" x14ac:dyDescent="0.25">
      <c r="A261" s="30" t="s">
        <v>438</v>
      </c>
      <c r="B261" s="29">
        <v>54</v>
      </c>
    </row>
    <row r="262" spans="1:2" x14ac:dyDescent="0.25">
      <c r="A262" s="20" t="s">
        <v>693</v>
      </c>
      <c r="B262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48A7F-7F4D-41C6-9C9C-3F84D0899D2B}">
  <dimension ref="A3:B76"/>
  <sheetViews>
    <sheetView zoomScale="52" workbookViewId="0">
      <selection activeCell="P7" sqref="P7"/>
    </sheetView>
  </sheetViews>
  <sheetFormatPr defaultRowHeight="15" x14ac:dyDescent="0.25"/>
  <cols>
    <col min="1" max="1" width="27.5703125" bestFit="1" customWidth="1"/>
    <col min="2" max="2" width="19.710937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126</v>
      </c>
      <c r="B4" s="29">
        <v>10165</v>
      </c>
    </row>
    <row r="5" spans="1:2" x14ac:dyDescent="0.25">
      <c r="A5" s="30" t="s">
        <v>154</v>
      </c>
      <c r="B5" s="29">
        <v>439</v>
      </c>
    </row>
    <row r="6" spans="1:2" x14ac:dyDescent="0.25">
      <c r="A6" s="30" t="s">
        <v>193</v>
      </c>
      <c r="B6" s="29">
        <v>544</v>
      </c>
    </row>
    <row r="7" spans="1:2" x14ac:dyDescent="0.25">
      <c r="A7" s="30" t="s">
        <v>194</v>
      </c>
      <c r="B7" s="29">
        <v>66</v>
      </c>
    </row>
    <row r="8" spans="1:2" x14ac:dyDescent="0.25">
      <c r="A8" s="30" t="s">
        <v>173</v>
      </c>
      <c r="B8" s="29">
        <v>64</v>
      </c>
    </row>
    <row r="9" spans="1:2" x14ac:dyDescent="0.25">
      <c r="A9" s="30" t="s">
        <v>198</v>
      </c>
      <c r="B9" s="29">
        <v>108</v>
      </c>
    </row>
    <row r="10" spans="1:2" x14ac:dyDescent="0.25">
      <c r="A10" s="30" t="s">
        <v>188</v>
      </c>
      <c r="B10" s="29">
        <v>444</v>
      </c>
    </row>
    <row r="11" spans="1:2" x14ac:dyDescent="0.25">
      <c r="A11" s="30" t="s">
        <v>213</v>
      </c>
      <c r="B11" s="29">
        <v>30</v>
      </c>
    </row>
    <row r="12" spans="1:2" x14ac:dyDescent="0.25">
      <c r="A12" s="30" t="s">
        <v>139</v>
      </c>
      <c r="B12" s="29">
        <v>76</v>
      </c>
    </row>
    <row r="13" spans="1:2" x14ac:dyDescent="0.25">
      <c r="A13" s="30" t="s">
        <v>201</v>
      </c>
      <c r="B13" s="29">
        <v>300</v>
      </c>
    </row>
    <row r="14" spans="1:2" x14ac:dyDescent="0.25">
      <c r="A14" s="30" t="s">
        <v>180</v>
      </c>
      <c r="B14" s="29">
        <v>110</v>
      </c>
    </row>
    <row r="15" spans="1:2" x14ac:dyDescent="0.25">
      <c r="A15" s="30" t="s">
        <v>148</v>
      </c>
      <c r="B15" s="29">
        <v>576</v>
      </c>
    </row>
    <row r="16" spans="1:2" x14ac:dyDescent="0.25">
      <c r="A16" s="30" t="s">
        <v>172</v>
      </c>
      <c r="B16" s="29">
        <v>224</v>
      </c>
    </row>
    <row r="17" spans="1:2" x14ac:dyDescent="0.25">
      <c r="A17" s="30" t="s">
        <v>212</v>
      </c>
      <c r="B17" s="29">
        <v>44</v>
      </c>
    </row>
    <row r="18" spans="1:2" x14ac:dyDescent="0.25">
      <c r="A18" s="30" t="s">
        <v>195</v>
      </c>
      <c r="B18" s="29">
        <v>151</v>
      </c>
    </row>
    <row r="19" spans="1:2" x14ac:dyDescent="0.25">
      <c r="A19" s="30" t="s">
        <v>176</v>
      </c>
      <c r="B19" s="29">
        <v>323</v>
      </c>
    </row>
    <row r="20" spans="1:2" x14ac:dyDescent="0.25">
      <c r="A20" s="30" t="s">
        <v>162</v>
      </c>
      <c r="B20" s="29">
        <v>918</v>
      </c>
    </row>
    <row r="21" spans="1:2" x14ac:dyDescent="0.25">
      <c r="A21" s="30" t="s">
        <v>190</v>
      </c>
      <c r="B21" s="29">
        <v>44</v>
      </c>
    </row>
    <row r="22" spans="1:2" x14ac:dyDescent="0.25">
      <c r="A22" s="30" t="s">
        <v>187</v>
      </c>
      <c r="B22" s="29">
        <v>155</v>
      </c>
    </row>
    <row r="23" spans="1:2" x14ac:dyDescent="0.25">
      <c r="A23" s="30" t="s">
        <v>170</v>
      </c>
      <c r="B23" s="29">
        <v>481</v>
      </c>
    </row>
    <row r="24" spans="1:2" x14ac:dyDescent="0.25">
      <c r="A24" s="30" t="s">
        <v>191</v>
      </c>
      <c r="B24" s="29">
        <v>86</v>
      </c>
    </row>
    <row r="25" spans="1:2" x14ac:dyDescent="0.25">
      <c r="A25" s="30" t="s">
        <v>210</v>
      </c>
      <c r="B25" s="29">
        <v>35</v>
      </c>
    </row>
    <row r="26" spans="1:2" x14ac:dyDescent="0.25">
      <c r="A26" s="30" t="s">
        <v>184</v>
      </c>
      <c r="B26" s="29">
        <v>489</v>
      </c>
    </row>
    <row r="27" spans="1:2" x14ac:dyDescent="0.25">
      <c r="A27" s="30" t="s">
        <v>159</v>
      </c>
      <c r="B27" s="29">
        <v>276</v>
      </c>
    </row>
    <row r="28" spans="1:2" x14ac:dyDescent="0.25">
      <c r="A28" s="30" t="s">
        <v>174</v>
      </c>
      <c r="B28" s="29">
        <v>54</v>
      </c>
    </row>
    <row r="29" spans="1:2" x14ac:dyDescent="0.25">
      <c r="A29" s="30" t="s">
        <v>133</v>
      </c>
      <c r="B29" s="29">
        <v>45</v>
      </c>
    </row>
    <row r="30" spans="1:2" x14ac:dyDescent="0.25">
      <c r="A30" s="30" t="s">
        <v>183</v>
      </c>
      <c r="B30" s="29">
        <v>199</v>
      </c>
    </row>
    <row r="31" spans="1:2" x14ac:dyDescent="0.25">
      <c r="A31" s="30" t="s">
        <v>151</v>
      </c>
      <c r="B31" s="29">
        <v>75</v>
      </c>
    </row>
    <row r="32" spans="1:2" x14ac:dyDescent="0.25">
      <c r="A32" s="30" t="s">
        <v>192</v>
      </c>
      <c r="B32" s="29">
        <v>57</v>
      </c>
    </row>
    <row r="33" spans="1:2" x14ac:dyDescent="0.25">
      <c r="A33" s="30" t="s">
        <v>160</v>
      </c>
      <c r="B33" s="29">
        <v>385</v>
      </c>
    </row>
    <row r="34" spans="1:2" x14ac:dyDescent="0.25">
      <c r="A34" s="30" t="s">
        <v>168</v>
      </c>
      <c r="B34" s="29">
        <v>326</v>
      </c>
    </row>
    <row r="35" spans="1:2" x14ac:dyDescent="0.25">
      <c r="A35" s="30" t="s">
        <v>167</v>
      </c>
      <c r="B35" s="29">
        <v>218</v>
      </c>
    </row>
    <row r="36" spans="1:2" x14ac:dyDescent="0.25">
      <c r="A36" s="30" t="s">
        <v>211</v>
      </c>
      <c r="B36" s="29">
        <v>32</v>
      </c>
    </row>
    <row r="37" spans="1:2" x14ac:dyDescent="0.25">
      <c r="A37" s="30" t="s">
        <v>199</v>
      </c>
      <c r="B37" s="29">
        <v>65</v>
      </c>
    </row>
    <row r="38" spans="1:2" x14ac:dyDescent="0.25">
      <c r="A38" s="30" t="s">
        <v>157</v>
      </c>
      <c r="B38" s="29">
        <v>166</v>
      </c>
    </row>
    <row r="39" spans="1:2" x14ac:dyDescent="0.25">
      <c r="A39" s="30" t="s">
        <v>161</v>
      </c>
      <c r="B39" s="29">
        <v>345</v>
      </c>
    </row>
    <row r="40" spans="1:2" x14ac:dyDescent="0.25">
      <c r="A40" s="30" t="s">
        <v>179</v>
      </c>
      <c r="B40" s="29">
        <v>77</v>
      </c>
    </row>
    <row r="41" spans="1:2" x14ac:dyDescent="0.25">
      <c r="A41" s="30" t="s">
        <v>185</v>
      </c>
      <c r="B41" s="29">
        <v>349</v>
      </c>
    </row>
    <row r="42" spans="1:2" x14ac:dyDescent="0.25">
      <c r="A42" s="30" t="s">
        <v>175</v>
      </c>
      <c r="B42" s="29">
        <v>35</v>
      </c>
    </row>
    <row r="43" spans="1:2" x14ac:dyDescent="0.25">
      <c r="A43" s="30" t="s">
        <v>209</v>
      </c>
      <c r="B43" s="29">
        <v>54</v>
      </c>
    </row>
    <row r="44" spans="1:2" x14ac:dyDescent="0.25">
      <c r="A44" s="30" t="s">
        <v>186</v>
      </c>
      <c r="B44" s="29">
        <v>406</v>
      </c>
    </row>
    <row r="45" spans="1:2" x14ac:dyDescent="0.25">
      <c r="A45" s="30" t="s">
        <v>165</v>
      </c>
      <c r="B45" s="29">
        <v>346</v>
      </c>
    </row>
    <row r="46" spans="1:2" x14ac:dyDescent="0.25">
      <c r="A46" s="30" t="s">
        <v>178</v>
      </c>
      <c r="B46" s="29">
        <v>177</v>
      </c>
    </row>
    <row r="47" spans="1:2" x14ac:dyDescent="0.25">
      <c r="A47" s="30" t="s">
        <v>156</v>
      </c>
      <c r="B47" s="29">
        <v>543</v>
      </c>
    </row>
    <row r="48" spans="1:2" x14ac:dyDescent="0.25">
      <c r="A48" s="30" t="s">
        <v>182</v>
      </c>
      <c r="B48" s="29">
        <v>129</v>
      </c>
    </row>
    <row r="49" spans="1:2" x14ac:dyDescent="0.25">
      <c r="A49" s="30" t="s">
        <v>171</v>
      </c>
      <c r="B49" s="29">
        <v>99</v>
      </c>
    </row>
    <row r="50" spans="1:2" x14ac:dyDescent="0.25">
      <c r="A50" s="20" t="s">
        <v>136</v>
      </c>
      <c r="B50" s="29">
        <v>1193</v>
      </c>
    </row>
    <row r="51" spans="1:2" x14ac:dyDescent="0.25">
      <c r="A51" s="30" t="s">
        <v>214</v>
      </c>
      <c r="B51" s="29">
        <v>60</v>
      </c>
    </row>
    <row r="52" spans="1:2" x14ac:dyDescent="0.25">
      <c r="A52" s="30" t="s">
        <v>205</v>
      </c>
      <c r="B52" s="29">
        <v>442</v>
      </c>
    </row>
    <row r="53" spans="1:2" x14ac:dyDescent="0.25">
      <c r="A53" s="30" t="s">
        <v>169</v>
      </c>
      <c r="B53" s="29">
        <v>102</v>
      </c>
    </row>
    <row r="54" spans="1:2" x14ac:dyDescent="0.25">
      <c r="A54" s="30" t="s">
        <v>166</v>
      </c>
      <c r="B54" s="29">
        <v>199</v>
      </c>
    </row>
    <row r="55" spans="1:2" x14ac:dyDescent="0.25">
      <c r="A55" s="30" t="s">
        <v>211</v>
      </c>
      <c r="B55" s="29">
        <v>3</v>
      </c>
    </row>
    <row r="56" spans="1:2" x14ac:dyDescent="0.25">
      <c r="A56" s="30" t="s">
        <v>208</v>
      </c>
      <c r="B56" s="29">
        <v>44</v>
      </c>
    </row>
    <row r="57" spans="1:2" x14ac:dyDescent="0.25">
      <c r="A57" s="30" t="s">
        <v>186</v>
      </c>
      <c r="B57" s="29">
        <v>22</v>
      </c>
    </row>
    <row r="58" spans="1:2" x14ac:dyDescent="0.25">
      <c r="A58" s="30" t="s">
        <v>177</v>
      </c>
      <c r="B58" s="29">
        <v>55</v>
      </c>
    </row>
    <row r="59" spans="1:2" x14ac:dyDescent="0.25">
      <c r="A59" s="30" t="s">
        <v>200</v>
      </c>
      <c r="B59" s="29">
        <v>266</v>
      </c>
    </row>
    <row r="60" spans="1:2" x14ac:dyDescent="0.25">
      <c r="A60" s="20" t="s">
        <v>143</v>
      </c>
      <c r="B60" s="29">
        <v>12</v>
      </c>
    </row>
    <row r="61" spans="1:2" x14ac:dyDescent="0.25">
      <c r="A61" s="30" t="s">
        <v>204</v>
      </c>
      <c r="B61" s="29">
        <v>12</v>
      </c>
    </row>
    <row r="62" spans="1:2" x14ac:dyDescent="0.25">
      <c r="A62" s="20" t="s">
        <v>138</v>
      </c>
      <c r="B62" s="29">
        <v>3898</v>
      </c>
    </row>
    <row r="63" spans="1:2" x14ac:dyDescent="0.25">
      <c r="A63" s="30" t="s">
        <v>196</v>
      </c>
      <c r="B63" s="29">
        <v>56</v>
      </c>
    </row>
    <row r="64" spans="1:2" x14ac:dyDescent="0.25">
      <c r="A64" s="30" t="s">
        <v>189</v>
      </c>
      <c r="B64" s="29">
        <v>729</v>
      </c>
    </row>
    <row r="65" spans="1:2" x14ac:dyDescent="0.25">
      <c r="A65" s="30" t="s">
        <v>206</v>
      </c>
      <c r="B65" s="29">
        <v>44</v>
      </c>
    </row>
    <row r="66" spans="1:2" x14ac:dyDescent="0.25">
      <c r="A66" s="30" t="s">
        <v>142</v>
      </c>
      <c r="B66" s="29">
        <v>45</v>
      </c>
    </row>
    <row r="67" spans="1:2" x14ac:dyDescent="0.25">
      <c r="A67" s="30" t="s">
        <v>203</v>
      </c>
      <c r="B67" s="29">
        <v>67</v>
      </c>
    </row>
    <row r="68" spans="1:2" x14ac:dyDescent="0.25">
      <c r="A68" s="30" t="s">
        <v>146</v>
      </c>
      <c r="B68" s="29">
        <v>795</v>
      </c>
    </row>
    <row r="69" spans="1:2" x14ac:dyDescent="0.25">
      <c r="A69" s="30" t="s">
        <v>197</v>
      </c>
      <c r="B69" s="29">
        <v>386</v>
      </c>
    </row>
    <row r="70" spans="1:2" x14ac:dyDescent="0.25">
      <c r="A70" s="30" t="s">
        <v>204</v>
      </c>
      <c r="B70" s="29">
        <v>322</v>
      </c>
    </row>
    <row r="71" spans="1:2" x14ac:dyDescent="0.25">
      <c r="A71" s="30" t="s">
        <v>202</v>
      </c>
      <c r="B71" s="29">
        <v>265</v>
      </c>
    </row>
    <row r="72" spans="1:2" x14ac:dyDescent="0.25">
      <c r="A72" s="30" t="s">
        <v>181</v>
      </c>
      <c r="B72" s="29">
        <v>64</v>
      </c>
    </row>
    <row r="73" spans="1:2" x14ac:dyDescent="0.25">
      <c r="A73" s="30" t="s">
        <v>158</v>
      </c>
      <c r="B73" s="29">
        <v>607</v>
      </c>
    </row>
    <row r="74" spans="1:2" x14ac:dyDescent="0.25">
      <c r="A74" s="30" t="s">
        <v>164</v>
      </c>
      <c r="B74" s="29">
        <v>454</v>
      </c>
    </row>
    <row r="75" spans="1:2" x14ac:dyDescent="0.25">
      <c r="A75" s="30" t="s">
        <v>207</v>
      </c>
      <c r="B75" s="29">
        <v>64</v>
      </c>
    </row>
    <row r="76" spans="1:2" x14ac:dyDescent="0.25">
      <c r="A76" s="20" t="s">
        <v>693</v>
      </c>
      <c r="B76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9B9B-39FC-4113-8C30-844D3C1EFA0A}">
  <dimension ref="A3:B137"/>
  <sheetViews>
    <sheetView topLeftCell="A41" zoomScale="21" workbookViewId="0">
      <selection activeCell="CJ179" sqref="CJ179"/>
    </sheetView>
  </sheetViews>
  <sheetFormatPr defaultRowHeight="15" x14ac:dyDescent="0.25"/>
  <cols>
    <col min="1" max="1" width="40.140625" bestFit="1" customWidth="1"/>
    <col min="2" max="2" width="24.5703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154</v>
      </c>
      <c r="B4" s="29">
        <v>439</v>
      </c>
    </row>
    <row r="5" spans="1:2" x14ac:dyDescent="0.25">
      <c r="A5" s="30" t="s">
        <v>126</v>
      </c>
      <c r="B5" s="29">
        <v>439</v>
      </c>
    </row>
    <row r="6" spans="1:2" x14ac:dyDescent="0.25">
      <c r="A6" s="20" t="s">
        <v>196</v>
      </c>
      <c r="B6" s="29">
        <v>56</v>
      </c>
    </row>
    <row r="7" spans="1:2" x14ac:dyDescent="0.25">
      <c r="A7" s="30" t="s">
        <v>138</v>
      </c>
      <c r="B7" s="29">
        <v>56</v>
      </c>
    </row>
    <row r="8" spans="1:2" x14ac:dyDescent="0.25">
      <c r="A8" s="20" t="s">
        <v>193</v>
      </c>
      <c r="B8" s="29">
        <v>544</v>
      </c>
    </row>
    <row r="9" spans="1:2" x14ac:dyDescent="0.25">
      <c r="A9" s="30" t="s">
        <v>126</v>
      </c>
      <c r="B9" s="29">
        <v>544</v>
      </c>
    </row>
    <row r="10" spans="1:2" x14ac:dyDescent="0.25">
      <c r="A10" s="20" t="s">
        <v>189</v>
      </c>
      <c r="B10" s="29">
        <v>729</v>
      </c>
    </row>
    <row r="11" spans="1:2" x14ac:dyDescent="0.25">
      <c r="A11" s="30" t="s">
        <v>138</v>
      </c>
      <c r="B11" s="29">
        <v>729</v>
      </c>
    </row>
    <row r="12" spans="1:2" x14ac:dyDescent="0.25">
      <c r="A12" s="20" t="s">
        <v>194</v>
      </c>
      <c r="B12" s="29">
        <v>66</v>
      </c>
    </row>
    <row r="13" spans="1:2" x14ac:dyDescent="0.25">
      <c r="A13" s="30" t="s">
        <v>126</v>
      </c>
      <c r="B13" s="29">
        <v>66</v>
      </c>
    </row>
    <row r="14" spans="1:2" x14ac:dyDescent="0.25">
      <c r="A14" s="20" t="s">
        <v>173</v>
      </c>
      <c r="B14" s="29">
        <v>64</v>
      </c>
    </row>
    <row r="15" spans="1:2" x14ac:dyDescent="0.25">
      <c r="A15" s="30" t="s">
        <v>126</v>
      </c>
      <c r="B15" s="29">
        <v>64</v>
      </c>
    </row>
    <row r="16" spans="1:2" x14ac:dyDescent="0.25">
      <c r="A16" s="20" t="s">
        <v>198</v>
      </c>
      <c r="B16" s="29">
        <v>108</v>
      </c>
    </row>
    <row r="17" spans="1:2" x14ac:dyDescent="0.25">
      <c r="A17" s="30" t="s">
        <v>126</v>
      </c>
      <c r="B17" s="29">
        <v>108</v>
      </c>
    </row>
    <row r="18" spans="1:2" x14ac:dyDescent="0.25">
      <c r="A18" s="20" t="s">
        <v>188</v>
      </c>
      <c r="B18" s="29">
        <v>444</v>
      </c>
    </row>
    <row r="19" spans="1:2" x14ac:dyDescent="0.25">
      <c r="A19" s="30" t="s">
        <v>126</v>
      </c>
      <c r="B19" s="29">
        <v>444</v>
      </c>
    </row>
    <row r="20" spans="1:2" x14ac:dyDescent="0.25">
      <c r="A20" s="20" t="s">
        <v>213</v>
      </c>
      <c r="B20" s="29">
        <v>30</v>
      </c>
    </row>
    <row r="21" spans="1:2" x14ac:dyDescent="0.25">
      <c r="A21" s="30" t="s">
        <v>126</v>
      </c>
      <c r="B21" s="29">
        <v>30</v>
      </c>
    </row>
    <row r="22" spans="1:2" x14ac:dyDescent="0.25">
      <c r="A22" s="20" t="s">
        <v>139</v>
      </c>
      <c r="B22" s="29">
        <v>76</v>
      </c>
    </row>
    <row r="23" spans="1:2" x14ac:dyDescent="0.25">
      <c r="A23" s="30" t="s">
        <v>126</v>
      </c>
      <c r="B23" s="29">
        <v>76</v>
      </c>
    </row>
    <row r="24" spans="1:2" x14ac:dyDescent="0.25">
      <c r="A24" s="20" t="s">
        <v>214</v>
      </c>
      <c r="B24" s="29">
        <v>60</v>
      </c>
    </row>
    <row r="25" spans="1:2" x14ac:dyDescent="0.25">
      <c r="A25" s="30" t="s">
        <v>136</v>
      </c>
      <c r="B25" s="29">
        <v>60</v>
      </c>
    </row>
    <row r="26" spans="1:2" x14ac:dyDescent="0.25">
      <c r="A26" s="20" t="s">
        <v>201</v>
      </c>
      <c r="B26" s="29">
        <v>300</v>
      </c>
    </row>
    <row r="27" spans="1:2" x14ac:dyDescent="0.25">
      <c r="A27" s="30" t="s">
        <v>126</v>
      </c>
      <c r="B27" s="29">
        <v>300</v>
      </c>
    </row>
    <row r="28" spans="1:2" x14ac:dyDescent="0.25">
      <c r="A28" s="20" t="s">
        <v>180</v>
      </c>
      <c r="B28" s="29">
        <v>110</v>
      </c>
    </row>
    <row r="29" spans="1:2" x14ac:dyDescent="0.25">
      <c r="A29" s="30" t="s">
        <v>126</v>
      </c>
      <c r="B29" s="29">
        <v>110</v>
      </c>
    </row>
    <row r="30" spans="1:2" x14ac:dyDescent="0.25">
      <c r="A30" s="20" t="s">
        <v>205</v>
      </c>
      <c r="B30" s="29">
        <v>442</v>
      </c>
    </row>
    <row r="31" spans="1:2" x14ac:dyDescent="0.25">
      <c r="A31" s="30" t="s">
        <v>136</v>
      </c>
      <c r="B31" s="29">
        <v>442</v>
      </c>
    </row>
    <row r="32" spans="1:2" x14ac:dyDescent="0.25">
      <c r="A32" s="20" t="s">
        <v>206</v>
      </c>
      <c r="B32" s="29">
        <v>44</v>
      </c>
    </row>
    <row r="33" spans="1:2" x14ac:dyDescent="0.25">
      <c r="A33" s="30" t="s">
        <v>138</v>
      </c>
      <c r="B33" s="29">
        <v>44</v>
      </c>
    </row>
    <row r="34" spans="1:2" x14ac:dyDescent="0.25">
      <c r="A34" s="20" t="s">
        <v>148</v>
      </c>
      <c r="B34" s="29">
        <v>576</v>
      </c>
    </row>
    <row r="35" spans="1:2" x14ac:dyDescent="0.25">
      <c r="A35" s="30" t="s">
        <v>126</v>
      </c>
      <c r="B35" s="29">
        <v>576</v>
      </c>
    </row>
    <row r="36" spans="1:2" x14ac:dyDescent="0.25">
      <c r="A36" s="20" t="s">
        <v>172</v>
      </c>
      <c r="B36" s="29">
        <v>224</v>
      </c>
    </row>
    <row r="37" spans="1:2" x14ac:dyDescent="0.25">
      <c r="A37" s="30" t="s">
        <v>126</v>
      </c>
      <c r="B37" s="29">
        <v>224</v>
      </c>
    </row>
    <row r="38" spans="1:2" x14ac:dyDescent="0.25">
      <c r="A38" s="20" t="s">
        <v>142</v>
      </c>
      <c r="B38" s="29">
        <v>45</v>
      </c>
    </row>
    <row r="39" spans="1:2" x14ac:dyDescent="0.25">
      <c r="A39" s="30" t="s">
        <v>138</v>
      </c>
      <c r="B39" s="29">
        <v>45</v>
      </c>
    </row>
    <row r="40" spans="1:2" x14ac:dyDescent="0.25">
      <c r="A40" s="20" t="s">
        <v>203</v>
      </c>
      <c r="B40" s="29">
        <v>67</v>
      </c>
    </row>
    <row r="41" spans="1:2" x14ac:dyDescent="0.25">
      <c r="A41" s="30" t="s">
        <v>138</v>
      </c>
      <c r="B41" s="29">
        <v>67</v>
      </c>
    </row>
    <row r="42" spans="1:2" x14ac:dyDescent="0.25">
      <c r="A42" s="20" t="s">
        <v>146</v>
      </c>
      <c r="B42" s="29">
        <v>795</v>
      </c>
    </row>
    <row r="43" spans="1:2" x14ac:dyDescent="0.25">
      <c r="A43" s="30" t="s">
        <v>138</v>
      </c>
      <c r="B43" s="29">
        <v>795</v>
      </c>
    </row>
    <row r="44" spans="1:2" x14ac:dyDescent="0.25">
      <c r="A44" s="20" t="s">
        <v>212</v>
      </c>
      <c r="B44" s="29">
        <v>44</v>
      </c>
    </row>
    <row r="45" spans="1:2" x14ac:dyDescent="0.25">
      <c r="A45" s="30" t="s">
        <v>126</v>
      </c>
      <c r="B45" s="29">
        <v>44</v>
      </c>
    </row>
    <row r="46" spans="1:2" x14ac:dyDescent="0.25">
      <c r="A46" s="20" t="s">
        <v>197</v>
      </c>
      <c r="B46" s="29">
        <v>386</v>
      </c>
    </row>
    <row r="47" spans="1:2" x14ac:dyDescent="0.25">
      <c r="A47" s="30" t="s">
        <v>138</v>
      </c>
      <c r="B47" s="29">
        <v>386</v>
      </c>
    </row>
    <row r="48" spans="1:2" x14ac:dyDescent="0.25">
      <c r="A48" s="20" t="s">
        <v>195</v>
      </c>
      <c r="B48" s="29">
        <v>151</v>
      </c>
    </row>
    <row r="49" spans="1:2" x14ac:dyDescent="0.25">
      <c r="A49" s="30" t="s">
        <v>126</v>
      </c>
      <c r="B49" s="29">
        <v>151</v>
      </c>
    </row>
    <row r="50" spans="1:2" x14ac:dyDescent="0.25">
      <c r="A50" s="20" t="s">
        <v>204</v>
      </c>
      <c r="B50" s="29">
        <v>334</v>
      </c>
    </row>
    <row r="51" spans="1:2" x14ac:dyDescent="0.25">
      <c r="A51" s="30" t="s">
        <v>143</v>
      </c>
      <c r="B51" s="29">
        <v>12</v>
      </c>
    </row>
    <row r="52" spans="1:2" x14ac:dyDescent="0.25">
      <c r="A52" s="30" t="s">
        <v>138</v>
      </c>
      <c r="B52" s="29">
        <v>322</v>
      </c>
    </row>
    <row r="53" spans="1:2" x14ac:dyDescent="0.25">
      <c r="A53" s="20" t="s">
        <v>176</v>
      </c>
      <c r="B53" s="29">
        <v>323</v>
      </c>
    </row>
    <row r="54" spans="1:2" x14ac:dyDescent="0.25">
      <c r="A54" s="30" t="s">
        <v>126</v>
      </c>
      <c r="B54" s="29">
        <v>323</v>
      </c>
    </row>
    <row r="55" spans="1:2" x14ac:dyDescent="0.25">
      <c r="A55" s="20" t="s">
        <v>202</v>
      </c>
      <c r="B55" s="29">
        <v>265</v>
      </c>
    </row>
    <row r="56" spans="1:2" x14ac:dyDescent="0.25">
      <c r="A56" s="30" t="s">
        <v>138</v>
      </c>
      <c r="B56" s="29">
        <v>265</v>
      </c>
    </row>
    <row r="57" spans="1:2" x14ac:dyDescent="0.25">
      <c r="A57" s="20" t="s">
        <v>162</v>
      </c>
      <c r="B57" s="29">
        <v>918</v>
      </c>
    </row>
    <row r="58" spans="1:2" x14ac:dyDescent="0.25">
      <c r="A58" s="30" t="s">
        <v>126</v>
      </c>
      <c r="B58" s="29">
        <v>918</v>
      </c>
    </row>
    <row r="59" spans="1:2" x14ac:dyDescent="0.25">
      <c r="A59" s="20" t="s">
        <v>190</v>
      </c>
      <c r="B59" s="29">
        <v>44</v>
      </c>
    </row>
    <row r="60" spans="1:2" x14ac:dyDescent="0.25">
      <c r="A60" s="30" t="s">
        <v>126</v>
      </c>
      <c r="B60" s="29">
        <v>44</v>
      </c>
    </row>
    <row r="61" spans="1:2" x14ac:dyDescent="0.25">
      <c r="A61" s="20" t="s">
        <v>187</v>
      </c>
      <c r="B61" s="29">
        <v>155</v>
      </c>
    </row>
    <row r="62" spans="1:2" x14ac:dyDescent="0.25">
      <c r="A62" s="30" t="s">
        <v>126</v>
      </c>
      <c r="B62" s="29">
        <v>155</v>
      </c>
    </row>
    <row r="63" spans="1:2" x14ac:dyDescent="0.25">
      <c r="A63" s="20" t="s">
        <v>170</v>
      </c>
      <c r="B63" s="29">
        <v>481</v>
      </c>
    </row>
    <row r="64" spans="1:2" x14ac:dyDescent="0.25">
      <c r="A64" s="30" t="s">
        <v>126</v>
      </c>
      <c r="B64" s="29">
        <v>481</v>
      </c>
    </row>
    <row r="65" spans="1:2" x14ac:dyDescent="0.25">
      <c r="A65" s="20" t="s">
        <v>169</v>
      </c>
      <c r="B65" s="29">
        <v>102</v>
      </c>
    </row>
    <row r="66" spans="1:2" x14ac:dyDescent="0.25">
      <c r="A66" s="30" t="s">
        <v>136</v>
      </c>
      <c r="B66" s="29">
        <v>102</v>
      </c>
    </row>
    <row r="67" spans="1:2" x14ac:dyDescent="0.25">
      <c r="A67" s="20" t="s">
        <v>191</v>
      </c>
      <c r="B67" s="29">
        <v>86</v>
      </c>
    </row>
    <row r="68" spans="1:2" x14ac:dyDescent="0.25">
      <c r="A68" s="30" t="s">
        <v>126</v>
      </c>
      <c r="B68" s="29">
        <v>86</v>
      </c>
    </row>
    <row r="69" spans="1:2" x14ac:dyDescent="0.25">
      <c r="A69" s="20" t="s">
        <v>166</v>
      </c>
      <c r="B69" s="29">
        <v>199</v>
      </c>
    </row>
    <row r="70" spans="1:2" x14ac:dyDescent="0.25">
      <c r="A70" s="30" t="s">
        <v>136</v>
      </c>
      <c r="B70" s="29">
        <v>199</v>
      </c>
    </row>
    <row r="71" spans="1:2" x14ac:dyDescent="0.25">
      <c r="A71" s="20" t="s">
        <v>210</v>
      </c>
      <c r="B71" s="29">
        <v>35</v>
      </c>
    </row>
    <row r="72" spans="1:2" x14ac:dyDescent="0.25">
      <c r="A72" s="30" t="s">
        <v>126</v>
      </c>
      <c r="B72" s="29">
        <v>35</v>
      </c>
    </row>
    <row r="73" spans="1:2" x14ac:dyDescent="0.25">
      <c r="A73" s="20" t="s">
        <v>184</v>
      </c>
      <c r="B73" s="29">
        <v>489</v>
      </c>
    </row>
    <row r="74" spans="1:2" x14ac:dyDescent="0.25">
      <c r="A74" s="30" t="s">
        <v>126</v>
      </c>
      <c r="B74" s="29">
        <v>489</v>
      </c>
    </row>
    <row r="75" spans="1:2" x14ac:dyDescent="0.25">
      <c r="A75" s="20" t="s">
        <v>159</v>
      </c>
      <c r="B75" s="29">
        <v>276</v>
      </c>
    </row>
    <row r="76" spans="1:2" x14ac:dyDescent="0.25">
      <c r="A76" s="30" t="s">
        <v>126</v>
      </c>
      <c r="B76" s="29">
        <v>276</v>
      </c>
    </row>
    <row r="77" spans="1:2" x14ac:dyDescent="0.25">
      <c r="A77" s="20" t="s">
        <v>174</v>
      </c>
      <c r="B77" s="29">
        <v>54</v>
      </c>
    </row>
    <row r="78" spans="1:2" x14ac:dyDescent="0.25">
      <c r="A78" s="30" t="s">
        <v>126</v>
      </c>
      <c r="B78" s="29">
        <v>54</v>
      </c>
    </row>
    <row r="79" spans="1:2" x14ac:dyDescent="0.25">
      <c r="A79" s="20" t="s">
        <v>133</v>
      </c>
      <c r="B79" s="29">
        <v>45</v>
      </c>
    </row>
    <row r="80" spans="1:2" x14ac:dyDescent="0.25">
      <c r="A80" s="30" t="s">
        <v>126</v>
      </c>
      <c r="B80" s="29">
        <v>45</v>
      </c>
    </row>
    <row r="81" spans="1:2" x14ac:dyDescent="0.25">
      <c r="A81" s="20" t="s">
        <v>183</v>
      </c>
      <c r="B81" s="29">
        <v>199</v>
      </c>
    </row>
    <row r="82" spans="1:2" x14ac:dyDescent="0.25">
      <c r="A82" s="30" t="s">
        <v>126</v>
      </c>
      <c r="B82" s="29">
        <v>199</v>
      </c>
    </row>
    <row r="83" spans="1:2" x14ac:dyDescent="0.25">
      <c r="A83" s="20" t="s">
        <v>151</v>
      </c>
      <c r="B83" s="29">
        <v>75</v>
      </c>
    </row>
    <row r="84" spans="1:2" x14ac:dyDescent="0.25">
      <c r="A84" s="30" t="s">
        <v>126</v>
      </c>
      <c r="B84" s="29">
        <v>75</v>
      </c>
    </row>
    <row r="85" spans="1:2" x14ac:dyDescent="0.25">
      <c r="A85" s="20" t="s">
        <v>192</v>
      </c>
      <c r="B85" s="29">
        <v>57</v>
      </c>
    </row>
    <row r="86" spans="1:2" x14ac:dyDescent="0.25">
      <c r="A86" s="30" t="s">
        <v>126</v>
      </c>
      <c r="B86" s="29">
        <v>57</v>
      </c>
    </row>
    <row r="87" spans="1:2" x14ac:dyDescent="0.25">
      <c r="A87" s="20" t="s">
        <v>160</v>
      </c>
      <c r="B87" s="29">
        <v>385</v>
      </c>
    </row>
    <row r="88" spans="1:2" x14ac:dyDescent="0.25">
      <c r="A88" s="30" t="s">
        <v>126</v>
      </c>
      <c r="B88" s="29">
        <v>385</v>
      </c>
    </row>
    <row r="89" spans="1:2" x14ac:dyDescent="0.25">
      <c r="A89" s="20" t="s">
        <v>168</v>
      </c>
      <c r="B89" s="29">
        <v>326</v>
      </c>
    </row>
    <row r="90" spans="1:2" x14ac:dyDescent="0.25">
      <c r="A90" s="30" t="s">
        <v>126</v>
      </c>
      <c r="B90" s="29">
        <v>326</v>
      </c>
    </row>
    <row r="91" spans="1:2" x14ac:dyDescent="0.25">
      <c r="A91" s="20" t="s">
        <v>181</v>
      </c>
      <c r="B91" s="29">
        <v>64</v>
      </c>
    </row>
    <row r="92" spans="1:2" x14ac:dyDescent="0.25">
      <c r="A92" s="30" t="s">
        <v>138</v>
      </c>
      <c r="B92" s="29">
        <v>64</v>
      </c>
    </row>
    <row r="93" spans="1:2" x14ac:dyDescent="0.25">
      <c r="A93" s="20" t="s">
        <v>167</v>
      </c>
      <c r="B93" s="29">
        <v>218</v>
      </c>
    </row>
    <row r="94" spans="1:2" x14ac:dyDescent="0.25">
      <c r="A94" s="30" t="s">
        <v>126</v>
      </c>
      <c r="B94" s="29">
        <v>218</v>
      </c>
    </row>
    <row r="95" spans="1:2" x14ac:dyDescent="0.25">
      <c r="A95" s="20" t="s">
        <v>158</v>
      </c>
      <c r="B95" s="29">
        <v>607</v>
      </c>
    </row>
    <row r="96" spans="1:2" x14ac:dyDescent="0.25">
      <c r="A96" s="30" t="s">
        <v>138</v>
      </c>
      <c r="B96" s="29">
        <v>607</v>
      </c>
    </row>
    <row r="97" spans="1:2" x14ac:dyDescent="0.25">
      <c r="A97" s="20" t="s">
        <v>211</v>
      </c>
      <c r="B97" s="29">
        <v>35</v>
      </c>
    </row>
    <row r="98" spans="1:2" x14ac:dyDescent="0.25">
      <c r="A98" s="30" t="s">
        <v>126</v>
      </c>
      <c r="B98" s="29">
        <v>32</v>
      </c>
    </row>
    <row r="99" spans="1:2" x14ac:dyDescent="0.25">
      <c r="A99" s="30" t="s">
        <v>136</v>
      </c>
      <c r="B99" s="29">
        <v>3</v>
      </c>
    </row>
    <row r="100" spans="1:2" x14ac:dyDescent="0.25">
      <c r="A100" s="20" t="s">
        <v>199</v>
      </c>
      <c r="B100" s="29">
        <v>65</v>
      </c>
    </row>
    <row r="101" spans="1:2" x14ac:dyDescent="0.25">
      <c r="A101" s="30" t="s">
        <v>126</v>
      </c>
      <c r="B101" s="29">
        <v>65</v>
      </c>
    </row>
    <row r="102" spans="1:2" x14ac:dyDescent="0.25">
      <c r="A102" s="20" t="s">
        <v>157</v>
      </c>
      <c r="B102" s="29">
        <v>166</v>
      </c>
    </row>
    <row r="103" spans="1:2" x14ac:dyDescent="0.25">
      <c r="A103" s="30" t="s">
        <v>126</v>
      </c>
      <c r="B103" s="29">
        <v>166</v>
      </c>
    </row>
    <row r="104" spans="1:2" x14ac:dyDescent="0.25">
      <c r="A104" s="20" t="s">
        <v>161</v>
      </c>
      <c r="B104" s="29">
        <v>345</v>
      </c>
    </row>
    <row r="105" spans="1:2" x14ac:dyDescent="0.25">
      <c r="A105" s="30" t="s">
        <v>126</v>
      </c>
      <c r="B105" s="29">
        <v>345</v>
      </c>
    </row>
    <row r="106" spans="1:2" x14ac:dyDescent="0.25">
      <c r="A106" s="20" t="s">
        <v>179</v>
      </c>
      <c r="B106" s="29">
        <v>77</v>
      </c>
    </row>
    <row r="107" spans="1:2" x14ac:dyDescent="0.25">
      <c r="A107" s="30" t="s">
        <v>126</v>
      </c>
      <c r="B107" s="29">
        <v>77</v>
      </c>
    </row>
    <row r="108" spans="1:2" x14ac:dyDescent="0.25">
      <c r="A108" s="20" t="s">
        <v>185</v>
      </c>
      <c r="B108" s="29">
        <v>349</v>
      </c>
    </row>
    <row r="109" spans="1:2" x14ac:dyDescent="0.25">
      <c r="A109" s="30" t="s">
        <v>126</v>
      </c>
      <c r="B109" s="29">
        <v>349</v>
      </c>
    </row>
    <row r="110" spans="1:2" x14ac:dyDescent="0.25">
      <c r="A110" s="20" t="s">
        <v>175</v>
      </c>
      <c r="B110" s="29">
        <v>35</v>
      </c>
    </row>
    <row r="111" spans="1:2" x14ac:dyDescent="0.25">
      <c r="A111" s="30" t="s">
        <v>126</v>
      </c>
      <c r="B111" s="29">
        <v>35</v>
      </c>
    </row>
    <row r="112" spans="1:2" x14ac:dyDescent="0.25">
      <c r="A112" s="20" t="s">
        <v>208</v>
      </c>
      <c r="B112" s="29">
        <v>44</v>
      </c>
    </row>
    <row r="113" spans="1:2" x14ac:dyDescent="0.25">
      <c r="A113" s="30" t="s">
        <v>136</v>
      </c>
      <c r="B113" s="29">
        <v>44</v>
      </c>
    </row>
    <row r="114" spans="1:2" x14ac:dyDescent="0.25">
      <c r="A114" s="20" t="s">
        <v>209</v>
      </c>
      <c r="B114" s="29">
        <v>54</v>
      </c>
    </row>
    <row r="115" spans="1:2" x14ac:dyDescent="0.25">
      <c r="A115" s="30" t="s">
        <v>126</v>
      </c>
      <c r="B115" s="29">
        <v>54</v>
      </c>
    </row>
    <row r="116" spans="1:2" x14ac:dyDescent="0.25">
      <c r="A116" s="20" t="s">
        <v>164</v>
      </c>
      <c r="B116" s="29">
        <v>454</v>
      </c>
    </row>
    <row r="117" spans="1:2" x14ac:dyDescent="0.25">
      <c r="A117" s="30" t="s">
        <v>138</v>
      </c>
      <c r="B117" s="29">
        <v>454</v>
      </c>
    </row>
    <row r="118" spans="1:2" x14ac:dyDescent="0.25">
      <c r="A118" s="20" t="s">
        <v>207</v>
      </c>
      <c r="B118" s="29">
        <v>64</v>
      </c>
    </row>
    <row r="119" spans="1:2" x14ac:dyDescent="0.25">
      <c r="A119" s="30" t="s">
        <v>138</v>
      </c>
      <c r="B119" s="29">
        <v>64</v>
      </c>
    </row>
    <row r="120" spans="1:2" x14ac:dyDescent="0.25">
      <c r="A120" s="20" t="s">
        <v>186</v>
      </c>
      <c r="B120" s="29">
        <v>428</v>
      </c>
    </row>
    <row r="121" spans="1:2" x14ac:dyDescent="0.25">
      <c r="A121" s="30" t="s">
        <v>126</v>
      </c>
      <c r="B121" s="29">
        <v>406</v>
      </c>
    </row>
    <row r="122" spans="1:2" x14ac:dyDescent="0.25">
      <c r="A122" s="30" t="s">
        <v>136</v>
      </c>
      <c r="B122" s="29">
        <v>22</v>
      </c>
    </row>
    <row r="123" spans="1:2" x14ac:dyDescent="0.25">
      <c r="A123" s="20" t="s">
        <v>165</v>
      </c>
      <c r="B123" s="29">
        <v>346</v>
      </c>
    </row>
    <row r="124" spans="1:2" x14ac:dyDescent="0.25">
      <c r="A124" s="30" t="s">
        <v>126</v>
      </c>
      <c r="B124" s="29">
        <v>346</v>
      </c>
    </row>
    <row r="125" spans="1:2" x14ac:dyDescent="0.25">
      <c r="A125" s="20" t="s">
        <v>178</v>
      </c>
      <c r="B125" s="29">
        <v>177</v>
      </c>
    </row>
    <row r="126" spans="1:2" x14ac:dyDescent="0.25">
      <c r="A126" s="30" t="s">
        <v>126</v>
      </c>
      <c r="B126" s="29">
        <v>177</v>
      </c>
    </row>
    <row r="127" spans="1:2" x14ac:dyDescent="0.25">
      <c r="A127" s="20" t="s">
        <v>156</v>
      </c>
      <c r="B127" s="29">
        <v>543</v>
      </c>
    </row>
    <row r="128" spans="1:2" x14ac:dyDescent="0.25">
      <c r="A128" s="30" t="s">
        <v>126</v>
      </c>
      <c r="B128" s="29">
        <v>543</v>
      </c>
    </row>
    <row r="129" spans="1:2" x14ac:dyDescent="0.25">
      <c r="A129" s="20" t="s">
        <v>177</v>
      </c>
      <c r="B129" s="29">
        <v>55</v>
      </c>
    </row>
    <row r="130" spans="1:2" x14ac:dyDescent="0.25">
      <c r="A130" s="30" t="s">
        <v>136</v>
      </c>
      <c r="B130" s="29">
        <v>55</v>
      </c>
    </row>
    <row r="131" spans="1:2" x14ac:dyDescent="0.25">
      <c r="A131" s="20" t="s">
        <v>182</v>
      </c>
      <c r="B131" s="29">
        <v>129</v>
      </c>
    </row>
    <row r="132" spans="1:2" x14ac:dyDescent="0.25">
      <c r="A132" s="30" t="s">
        <v>126</v>
      </c>
      <c r="B132" s="29">
        <v>129</v>
      </c>
    </row>
    <row r="133" spans="1:2" x14ac:dyDescent="0.25">
      <c r="A133" s="20" t="s">
        <v>171</v>
      </c>
      <c r="B133" s="29">
        <v>99</v>
      </c>
    </row>
    <row r="134" spans="1:2" x14ac:dyDescent="0.25">
      <c r="A134" s="30" t="s">
        <v>126</v>
      </c>
      <c r="B134" s="29">
        <v>99</v>
      </c>
    </row>
    <row r="135" spans="1:2" x14ac:dyDescent="0.25">
      <c r="A135" s="20" t="s">
        <v>200</v>
      </c>
      <c r="B135" s="29">
        <v>266</v>
      </c>
    </row>
    <row r="136" spans="1:2" x14ac:dyDescent="0.25">
      <c r="A136" s="30" t="s">
        <v>136</v>
      </c>
      <c r="B136" s="29">
        <v>266</v>
      </c>
    </row>
    <row r="137" spans="1:2" x14ac:dyDescent="0.25">
      <c r="A137" s="20" t="s">
        <v>693</v>
      </c>
      <c r="B137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D73A-426B-4C6E-A3FE-EA1ED6017C0B}">
  <dimension ref="A3:B205"/>
  <sheetViews>
    <sheetView tabSelected="1" topLeftCell="D117" zoomScale="12" workbookViewId="0">
      <selection activeCell="BC227" sqref="BC227"/>
    </sheetView>
  </sheetViews>
  <sheetFormatPr defaultRowHeight="15" x14ac:dyDescent="0.25"/>
  <cols>
    <col min="1" max="1" width="23" bestFit="1" customWidth="1"/>
    <col min="2" max="2" width="13.42578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540</v>
      </c>
      <c r="B4" s="29">
        <v>67</v>
      </c>
    </row>
    <row r="5" spans="1:2" x14ac:dyDescent="0.25">
      <c r="A5" s="30" t="s">
        <v>695</v>
      </c>
      <c r="B5" s="29">
        <v>23</v>
      </c>
    </row>
    <row r="6" spans="1:2" x14ac:dyDescent="0.25">
      <c r="A6" s="30" t="s">
        <v>696</v>
      </c>
      <c r="B6" s="29">
        <v>44</v>
      </c>
    </row>
    <row r="7" spans="1:2" x14ac:dyDescent="0.25">
      <c r="A7" s="20" t="s">
        <v>598</v>
      </c>
      <c r="B7" s="29">
        <v>99</v>
      </c>
    </row>
    <row r="8" spans="1:2" x14ac:dyDescent="0.25">
      <c r="A8" s="30" t="s">
        <v>695</v>
      </c>
      <c r="B8" s="29">
        <v>34</v>
      </c>
    </row>
    <row r="9" spans="1:2" x14ac:dyDescent="0.25">
      <c r="A9" s="30" t="s">
        <v>696</v>
      </c>
      <c r="B9" s="29">
        <v>65</v>
      </c>
    </row>
    <row r="10" spans="1:2" x14ac:dyDescent="0.25">
      <c r="A10" s="20" t="s">
        <v>647</v>
      </c>
      <c r="B10" s="29">
        <v>266</v>
      </c>
    </row>
    <row r="11" spans="1:2" x14ac:dyDescent="0.25">
      <c r="A11" s="30" t="s">
        <v>695</v>
      </c>
      <c r="B11" s="29">
        <v>212</v>
      </c>
    </row>
    <row r="12" spans="1:2" x14ac:dyDescent="0.25">
      <c r="A12" s="30" t="s">
        <v>696</v>
      </c>
      <c r="B12" s="29">
        <v>54</v>
      </c>
    </row>
    <row r="13" spans="1:2" x14ac:dyDescent="0.25">
      <c r="A13" s="20" t="s">
        <v>632</v>
      </c>
      <c r="B13" s="29">
        <v>375</v>
      </c>
    </row>
    <row r="14" spans="1:2" x14ac:dyDescent="0.25">
      <c r="A14" s="30" t="s">
        <v>695</v>
      </c>
      <c r="B14" s="29">
        <v>343</v>
      </c>
    </row>
    <row r="15" spans="1:2" x14ac:dyDescent="0.25">
      <c r="A15" s="30" t="s">
        <v>696</v>
      </c>
      <c r="B15" s="29">
        <v>32</v>
      </c>
    </row>
    <row r="16" spans="1:2" x14ac:dyDescent="0.25">
      <c r="A16" s="20" t="s">
        <v>588</v>
      </c>
      <c r="B16" s="29">
        <v>66</v>
      </c>
    </row>
    <row r="17" spans="1:2" x14ac:dyDescent="0.25">
      <c r="A17" s="30" t="s">
        <v>695</v>
      </c>
      <c r="B17" s="29">
        <v>12</v>
      </c>
    </row>
    <row r="18" spans="1:2" x14ac:dyDescent="0.25">
      <c r="A18" s="30" t="s">
        <v>696</v>
      </c>
      <c r="B18" s="29">
        <v>54</v>
      </c>
    </row>
    <row r="19" spans="1:2" x14ac:dyDescent="0.25">
      <c r="A19" s="20" t="s">
        <v>426</v>
      </c>
      <c r="B19" s="29">
        <v>121</v>
      </c>
    </row>
    <row r="20" spans="1:2" x14ac:dyDescent="0.25">
      <c r="A20" s="30" t="s">
        <v>695</v>
      </c>
      <c r="B20" s="29">
        <v>56</v>
      </c>
    </row>
    <row r="21" spans="1:2" x14ac:dyDescent="0.25">
      <c r="A21" s="30" t="s">
        <v>696</v>
      </c>
      <c r="B21" s="29">
        <v>65</v>
      </c>
    </row>
    <row r="22" spans="1:2" x14ac:dyDescent="0.25">
      <c r="A22" s="20" t="s">
        <v>466</v>
      </c>
      <c r="B22" s="29">
        <v>46</v>
      </c>
    </row>
    <row r="23" spans="1:2" x14ac:dyDescent="0.25">
      <c r="A23" s="30" t="s">
        <v>695</v>
      </c>
      <c r="B23" s="29">
        <v>34</v>
      </c>
    </row>
    <row r="24" spans="1:2" x14ac:dyDescent="0.25">
      <c r="A24" s="30" t="s">
        <v>696</v>
      </c>
      <c r="B24" s="29">
        <v>12</v>
      </c>
    </row>
    <row r="25" spans="1:2" x14ac:dyDescent="0.25">
      <c r="A25" s="20" t="s">
        <v>10</v>
      </c>
      <c r="B25" s="29">
        <v>417</v>
      </c>
    </row>
    <row r="26" spans="1:2" x14ac:dyDescent="0.25">
      <c r="A26" s="30" t="s">
        <v>695</v>
      </c>
      <c r="B26" s="29">
        <v>374</v>
      </c>
    </row>
    <row r="27" spans="1:2" x14ac:dyDescent="0.25">
      <c r="A27" s="30" t="s">
        <v>696</v>
      </c>
      <c r="B27" s="29">
        <v>43</v>
      </c>
    </row>
    <row r="28" spans="1:2" x14ac:dyDescent="0.25">
      <c r="A28" s="20" t="s">
        <v>487</v>
      </c>
      <c r="B28" s="29">
        <v>68</v>
      </c>
    </row>
    <row r="29" spans="1:2" x14ac:dyDescent="0.25">
      <c r="A29" s="30" t="s">
        <v>695</v>
      </c>
      <c r="B29" s="29">
        <v>45</v>
      </c>
    </row>
    <row r="30" spans="1:2" x14ac:dyDescent="0.25">
      <c r="A30" s="30" t="s">
        <v>696</v>
      </c>
      <c r="B30" s="29">
        <v>23</v>
      </c>
    </row>
    <row r="31" spans="1:2" x14ac:dyDescent="0.25">
      <c r="A31" s="20" t="s">
        <v>497</v>
      </c>
      <c r="B31" s="29">
        <v>100</v>
      </c>
    </row>
    <row r="32" spans="1:2" x14ac:dyDescent="0.25">
      <c r="A32" s="30" t="s">
        <v>695</v>
      </c>
      <c r="B32" s="29">
        <v>55</v>
      </c>
    </row>
    <row r="33" spans="1:2" x14ac:dyDescent="0.25">
      <c r="A33" s="30" t="s">
        <v>696</v>
      </c>
      <c r="B33" s="29">
        <v>45</v>
      </c>
    </row>
    <row r="34" spans="1:2" x14ac:dyDescent="0.25">
      <c r="A34" s="20" t="s">
        <v>492</v>
      </c>
      <c r="B34" s="29">
        <v>100</v>
      </c>
    </row>
    <row r="35" spans="1:2" x14ac:dyDescent="0.25">
      <c r="A35" s="30" t="s">
        <v>695</v>
      </c>
      <c r="B35" s="29">
        <v>76</v>
      </c>
    </row>
    <row r="36" spans="1:2" x14ac:dyDescent="0.25">
      <c r="A36" s="30" t="s">
        <v>696</v>
      </c>
      <c r="B36" s="29">
        <v>24</v>
      </c>
    </row>
    <row r="37" spans="1:2" x14ac:dyDescent="0.25">
      <c r="A37" s="20" t="s">
        <v>68</v>
      </c>
      <c r="B37" s="29">
        <v>718</v>
      </c>
    </row>
    <row r="38" spans="1:2" x14ac:dyDescent="0.25">
      <c r="A38" s="30" t="s">
        <v>695</v>
      </c>
      <c r="B38" s="29">
        <v>673</v>
      </c>
    </row>
    <row r="39" spans="1:2" x14ac:dyDescent="0.25">
      <c r="A39" s="30" t="s">
        <v>696</v>
      </c>
      <c r="B39" s="29">
        <v>45</v>
      </c>
    </row>
    <row r="40" spans="1:2" x14ac:dyDescent="0.25">
      <c r="A40" s="20" t="s">
        <v>670</v>
      </c>
      <c r="B40" s="29">
        <v>308</v>
      </c>
    </row>
    <row r="41" spans="1:2" x14ac:dyDescent="0.25">
      <c r="A41" s="30" t="s">
        <v>695</v>
      </c>
      <c r="B41" s="29">
        <v>232</v>
      </c>
    </row>
    <row r="42" spans="1:2" x14ac:dyDescent="0.25">
      <c r="A42" s="30" t="s">
        <v>696</v>
      </c>
      <c r="B42" s="29">
        <v>76</v>
      </c>
    </row>
    <row r="43" spans="1:2" x14ac:dyDescent="0.25">
      <c r="A43" s="20" t="s">
        <v>33</v>
      </c>
      <c r="B43" s="29">
        <v>167</v>
      </c>
    </row>
    <row r="44" spans="1:2" x14ac:dyDescent="0.25">
      <c r="A44" s="30" t="s">
        <v>695</v>
      </c>
      <c r="B44" s="29">
        <v>155</v>
      </c>
    </row>
    <row r="45" spans="1:2" x14ac:dyDescent="0.25">
      <c r="A45" s="30" t="s">
        <v>696</v>
      </c>
      <c r="B45" s="29">
        <v>12</v>
      </c>
    </row>
    <row r="46" spans="1:2" x14ac:dyDescent="0.25">
      <c r="A46" s="20" t="s">
        <v>83</v>
      </c>
      <c r="B46" s="29">
        <v>378</v>
      </c>
    </row>
    <row r="47" spans="1:2" x14ac:dyDescent="0.25">
      <c r="A47" s="30" t="s">
        <v>695</v>
      </c>
      <c r="B47" s="29">
        <v>355</v>
      </c>
    </row>
    <row r="48" spans="1:2" x14ac:dyDescent="0.25">
      <c r="A48" s="30" t="s">
        <v>696</v>
      </c>
      <c r="B48" s="29">
        <v>23</v>
      </c>
    </row>
    <row r="49" spans="1:2" x14ac:dyDescent="0.25">
      <c r="A49" s="20" t="s">
        <v>517</v>
      </c>
      <c r="B49" s="29">
        <v>57</v>
      </c>
    </row>
    <row r="50" spans="1:2" x14ac:dyDescent="0.25">
      <c r="A50" s="30" t="s">
        <v>695</v>
      </c>
      <c r="B50" s="29">
        <v>11</v>
      </c>
    </row>
    <row r="51" spans="1:2" x14ac:dyDescent="0.25">
      <c r="A51" s="30" t="s">
        <v>696</v>
      </c>
      <c r="B51" s="29">
        <v>46</v>
      </c>
    </row>
    <row r="52" spans="1:2" x14ac:dyDescent="0.25">
      <c r="A52" s="20" t="s">
        <v>567</v>
      </c>
      <c r="B52" s="29">
        <v>157</v>
      </c>
    </row>
    <row r="53" spans="1:2" x14ac:dyDescent="0.25">
      <c r="A53" s="30" t="s">
        <v>695</v>
      </c>
      <c r="B53" s="29">
        <v>123</v>
      </c>
    </row>
    <row r="54" spans="1:2" x14ac:dyDescent="0.25">
      <c r="A54" s="30" t="s">
        <v>696</v>
      </c>
      <c r="B54" s="29">
        <v>34</v>
      </c>
    </row>
    <row r="55" spans="1:2" x14ac:dyDescent="0.25">
      <c r="A55" s="20" t="s">
        <v>94</v>
      </c>
      <c r="B55" s="29">
        <v>399</v>
      </c>
    </row>
    <row r="56" spans="1:2" x14ac:dyDescent="0.25">
      <c r="A56" s="30" t="s">
        <v>695</v>
      </c>
      <c r="B56" s="29">
        <v>356</v>
      </c>
    </row>
    <row r="57" spans="1:2" x14ac:dyDescent="0.25">
      <c r="A57" s="30" t="s">
        <v>696</v>
      </c>
      <c r="B57" s="29">
        <v>43</v>
      </c>
    </row>
    <row r="58" spans="1:2" x14ac:dyDescent="0.25">
      <c r="A58" s="20" t="s">
        <v>456</v>
      </c>
      <c r="B58" s="29">
        <v>86</v>
      </c>
    </row>
    <row r="59" spans="1:2" x14ac:dyDescent="0.25">
      <c r="A59" s="30" t="s">
        <v>695</v>
      </c>
      <c r="B59" s="29">
        <v>54</v>
      </c>
    </row>
    <row r="60" spans="1:2" x14ac:dyDescent="0.25">
      <c r="A60" s="30" t="s">
        <v>696</v>
      </c>
      <c r="B60" s="29">
        <v>32</v>
      </c>
    </row>
    <row r="61" spans="1:2" x14ac:dyDescent="0.25">
      <c r="A61" s="20" t="s">
        <v>476</v>
      </c>
      <c r="B61" s="29">
        <v>56</v>
      </c>
    </row>
    <row r="62" spans="1:2" x14ac:dyDescent="0.25">
      <c r="A62" s="30" t="s">
        <v>695</v>
      </c>
      <c r="B62" s="29">
        <v>44</v>
      </c>
    </row>
    <row r="63" spans="1:2" x14ac:dyDescent="0.25">
      <c r="A63" s="30" t="s">
        <v>696</v>
      </c>
      <c r="B63" s="29">
        <v>12</v>
      </c>
    </row>
    <row r="64" spans="1:2" x14ac:dyDescent="0.25">
      <c r="A64" s="20" t="s">
        <v>593</v>
      </c>
      <c r="B64" s="29">
        <v>63</v>
      </c>
    </row>
    <row r="65" spans="1:2" x14ac:dyDescent="0.25">
      <c r="A65" s="30" t="s">
        <v>695</v>
      </c>
      <c r="B65" s="29">
        <v>43</v>
      </c>
    </row>
    <row r="66" spans="1:2" x14ac:dyDescent="0.25">
      <c r="A66" s="30" t="s">
        <v>696</v>
      </c>
      <c r="B66" s="29">
        <v>20</v>
      </c>
    </row>
    <row r="67" spans="1:2" x14ac:dyDescent="0.25">
      <c r="A67" s="20" t="s">
        <v>450</v>
      </c>
      <c r="B67" s="29">
        <v>288</v>
      </c>
    </row>
    <row r="68" spans="1:2" x14ac:dyDescent="0.25">
      <c r="A68" s="30" t="s">
        <v>695</v>
      </c>
      <c r="B68" s="29">
        <v>234</v>
      </c>
    </row>
    <row r="69" spans="1:2" x14ac:dyDescent="0.25">
      <c r="A69" s="30" t="s">
        <v>696</v>
      </c>
      <c r="B69" s="29">
        <v>54</v>
      </c>
    </row>
    <row r="70" spans="1:2" x14ac:dyDescent="0.25">
      <c r="A70" s="20" t="s">
        <v>471</v>
      </c>
      <c r="B70" s="29">
        <v>57</v>
      </c>
    </row>
    <row r="71" spans="1:2" x14ac:dyDescent="0.25">
      <c r="A71" s="30" t="s">
        <v>695</v>
      </c>
      <c r="B71" s="29">
        <v>45</v>
      </c>
    </row>
    <row r="72" spans="1:2" x14ac:dyDescent="0.25">
      <c r="A72" s="30" t="s">
        <v>696</v>
      </c>
      <c r="B72" s="29">
        <v>12</v>
      </c>
    </row>
    <row r="73" spans="1:2" x14ac:dyDescent="0.25">
      <c r="A73" s="20" t="s">
        <v>88</v>
      </c>
      <c r="B73" s="29">
        <v>520</v>
      </c>
    </row>
    <row r="74" spans="1:2" x14ac:dyDescent="0.25">
      <c r="A74" s="30" t="s">
        <v>695</v>
      </c>
      <c r="B74" s="29">
        <v>464</v>
      </c>
    </row>
    <row r="75" spans="1:2" x14ac:dyDescent="0.25">
      <c r="A75" s="30" t="s">
        <v>696</v>
      </c>
      <c r="B75" s="29">
        <v>56</v>
      </c>
    </row>
    <row r="76" spans="1:2" x14ac:dyDescent="0.25">
      <c r="A76" s="20" t="s">
        <v>666</v>
      </c>
      <c r="B76" s="29">
        <v>117</v>
      </c>
    </row>
    <row r="77" spans="1:2" x14ac:dyDescent="0.25">
      <c r="A77" s="30" t="s">
        <v>695</v>
      </c>
      <c r="B77" s="29">
        <v>33</v>
      </c>
    </row>
    <row r="78" spans="1:2" x14ac:dyDescent="0.25">
      <c r="A78" s="30" t="s">
        <v>696</v>
      </c>
      <c r="B78" s="29">
        <v>84</v>
      </c>
    </row>
    <row r="79" spans="1:2" x14ac:dyDescent="0.25">
      <c r="A79" s="20" t="s">
        <v>106</v>
      </c>
      <c r="B79" s="29">
        <v>97</v>
      </c>
    </row>
    <row r="80" spans="1:2" x14ac:dyDescent="0.25">
      <c r="A80" s="30" t="s">
        <v>695</v>
      </c>
      <c r="B80" s="29">
        <v>54</v>
      </c>
    </row>
    <row r="81" spans="1:2" x14ac:dyDescent="0.25">
      <c r="A81" s="30" t="s">
        <v>696</v>
      </c>
      <c r="B81" s="29">
        <v>43</v>
      </c>
    </row>
    <row r="82" spans="1:2" x14ac:dyDescent="0.25">
      <c r="A82" s="20" t="s">
        <v>652</v>
      </c>
      <c r="B82" s="29">
        <v>75</v>
      </c>
    </row>
    <row r="83" spans="1:2" x14ac:dyDescent="0.25">
      <c r="A83" s="30" t="s">
        <v>695</v>
      </c>
      <c r="B83" s="29">
        <v>32</v>
      </c>
    </row>
    <row r="84" spans="1:2" x14ac:dyDescent="0.25">
      <c r="A84" s="30" t="s">
        <v>696</v>
      </c>
      <c r="B84" s="29">
        <v>43</v>
      </c>
    </row>
    <row r="85" spans="1:2" x14ac:dyDescent="0.25">
      <c r="A85" s="20" t="s">
        <v>21</v>
      </c>
      <c r="B85" s="29">
        <v>278</v>
      </c>
    </row>
    <row r="86" spans="1:2" x14ac:dyDescent="0.25">
      <c r="A86" s="30" t="s">
        <v>695</v>
      </c>
      <c r="B86" s="29">
        <v>255</v>
      </c>
    </row>
    <row r="87" spans="1:2" x14ac:dyDescent="0.25">
      <c r="A87" s="30" t="s">
        <v>696</v>
      </c>
      <c r="B87" s="29">
        <v>23</v>
      </c>
    </row>
    <row r="88" spans="1:2" x14ac:dyDescent="0.25">
      <c r="A88" s="20" t="s">
        <v>573</v>
      </c>
      <c r="B88" s="29">
        <v>497</v>
      </c>
    </row>
    <row r="89" spans="1:2" x14ac:dyDescent="0.25">
      <c r="A89" s="30" t="s">
        <v>695</v>
      </c>
      <c r="B89" s="29">
        <v>432</v>
      </c>
    </row>
    <row r="90" spans="1:2" x14ac:dyDescent="0.25">
      <c r="A90" s="30" t="s">
        <v>696</v>
      </c>
      <c r="B90" s="29">
        <v>65</v>
      </c>
    </row>
    <row r="91" spans="1:2" x14ac:dyDescent="0.25">
      <c r="A91" s="20" t="s">
        <v>526</v>
      </c>
      <c r="B91" s="29">
        <v>187</v>
      </c>
    </row>
    <row r="92" spans="1:2" x14ac:dyDescent="0.25">
      <c r="A92" s="30" t="s">
        <v>695</v>
      </c>
      <c r="B92" s="29">
        <v>123</v>
      </c>
    </row>
    <row r="93" spans="1:2" x14ac:dyDescent="0.25">
      <c r="A93" s="30" t="s">
        <v>696</v>
      </c>
      <c r="B93" s="29">
        <v>64</v>
      </c>
    </row>
    <row r="94" spans="1:2" x14ac:dyDescent="0.25">
      <c r="A94" s="20" t="s">
        <v>44</v>
      </c>
      <c r="B94" s="29">
        <v>396</v>
      </c>
    </row>
    <row r="95" spans="1:2" x14ac:dyDescent="0.25">
      <c r="A95" s="30" t="s">
        <v>695</v>
      </c>
      <c r="B95" s="29">
        <v>330</v>
      </c>
    </row>
    <row r="96" spans="1:2" x14ac:dyDescent="0.25">
      <c r="A96" s="30" t="s">
        <v>696</v>
      </c>
      <c r="B96" s="29">
        <v>66</v>
      </c>
    </row>
    <row r="97" spans="1:2" x14ac:dyDescent="0.25">
      <c r="A97" s="20" t="s">
        <v>461</v>
      </c>
      <c r="B97" s="29">
        <v>77</v>
      </c>
    </row>
    <row r="98" spans="1:2" x14ac:dyDescent="0.25">
      <c r="A98" s="30" t="s">
        <v>695</v>
      </c>
      <c r="B98" s="29">
        <v>43</v>
      </c>
    </row>
    <row r="99" spans="1:2" x14ac:dyDescent="0.25">
      <c r="A99" s="30" t="s">
        <v>696</v>
      </c>
      <c r="B99" s="29">
        <v>34</v>
      </c>
    </row>
    <row r="100" spans="1:2" x14ac:dyDescent="0.25">
      <c r="A100" s="20" t="s">
        <v>612</v>
      </c>
      <c r="B100" s="29">
        <v>108</v>
      </c>
    </row>
    <row r="101" spans="1:2" x14ac:dyDescent="0.25">
      <c r="A101" s="30" t="s">
        <v>695</v>
      </c>
      <c r="B101" s="29">
        <v>32</v>
      </c>
    </row>
    <row r="102" spans="1:2" x14ac:dyDescent="0.25">
      <c r="A102" s="30" t="s">
        <v>696</v>
      </c>
      <c r="B102" s="29">
        <v>76</v>
      </c>
    </row>
    <row r="103" spans="1:2" x14ac:dyDescent="0.25">
      <c r="A103" s="20" t="s">
        <v>522</v>
      </c>
      <c r="B103" s="29">
        <v>66</v>
      </c>
    </row>
    <row r="104" spans="1:2" x14ac:dyDescent="0.25">
      <c r="A104" s="30" t="s">
        <v>695</v>
      </c>
      <c r="B104" s="29">
        <v>11</v>
      </c>
    </row>
    <row r="105" spans="1:2" x14ac:dyDescent="0.25">
      <c r="A105" s="30" t="s">
        <v>696</v>
      </c>
      <c r="B105" s="29">
        <v>55</v>
      </c>
    </row>
    <row r="106" spans="1:2" x14ac:dyDescent="0.25">
      <c r="A106" s="20" t="s">
        <v>502</v>
      </c>
      <c r="B106" s="29">
        <v>78</v>
      </c>
    </row>
    <row r="107" spans="1:2" x14ac:dyDescent="0.25">
      <c r="A107" s="30" t="s">
        <v>695</v>
      </c>
      <c r="B107" s="29">
        <v>66</v>
      </c>
    </row>
    <row r="108" spans="1:2" x14ac:dyDescent="0.25">
      <c r="A108" s="30" t="s">
        <v>696</v>
      </c>
      <c r="B108" s="29">
        <v>12</v>
      </c>
    </row>
    <row r="109" spans="1:2" x14ac:dyDescent="0.25">
      <c r="A109" s="20" t="s">
        <v>16</v>
      </c>
      <c r="B109" s="29">
        <v>297</v>
      </c>
    </row>
    <row r="110" spans="1:2" x14ac:dyDescent="0.25">
      <c r="A110" s="30" t="s">
        <v>695</v>
      </c>
      <c r="B110" s="29">
        <v>265</v>
      </c>
    </row>
    <row r="111" spans="1:2" x14ac:dyDescent="0.25">
      <c r="A111" s="30" t="s">
        <v>696</v>
      </c>
      <c r="B111" s="29">
        <v>32</v>
      </c>
    </row>
    <row r="112" spans="1:2" x14ac:dyDescent="0.25">
      <c r="A112" s="20" t="s">
        <v>546</v>
      </c>
      <c r="B112" s="29">
        <v>37</v>
      </c>
    </row>
    <row r="113" spans="1:2" x14ac:dyDescent="0.25">
      <c r="A113" s="30" t="s">
        <v>695</v>
      </c>
      <c r="B113" s="29">
        <v>12</v>
      </c>
    </row>
    <row r="114" spans="1:2" x14ac:dyDescent="0.25">
      <c r="A114" s="30" t="s">
        <v>696</v>
      </c>
      <c r="B114" s="29">
        <v>25</v>
      </c>
    </row>
    <row r="115" spans="1:2" x14ac:dyDescent="0.25">
      <c r="A115" s="20" t="s">
        <v>607</v>
      </c>
      <c r="B115" s="29">
        <v>78</v>
      </c>
    </row>
    <row r="116" spans="1:2" x14ac:dyDescent="0.25">
      <c r="A116" s="30" t="s">
        <v>695</v>
      </c>
      <c r="B116" s="29">
        <v>12</v>
      </c>
    </row>
    <row r="117" spans="1:2" x14ac:dyDescent="0.25">
      <c r="A117" s="30" t="s">
        <v>696</v>
      </c>
      <c r="B117" s="29">
        <v>66</v>
      </c>
    </row>
    <row r="118" spans="1:2" x14ac:dyDescent="0.25">
      <c r="A118" s="20" t="s">
        <v>637</v>
      </c>
      <c r="B118" s="29">
        <v>86</v>
      </c>
    </row>
    <row r="119" spans="1:2" x14ac:dyDescent="0.25">
      <c r="A119" s="30" t="s">
        <v>695</v>
      </c>
      <c r="B119" s="29">
        <v>43</v>
      </c>
    </row>
    <row r="120" spans="1:2" x14ac:dyDescent="0.25">
      <c r="A120" s="30" t="s">
        <v>696</v>
      </c>
      <c r="B120" s="29">
        <v>43</v>
      </c>
    </row>
    <row r="121" spans="1:2" x14ac:dyDescent="0.25">
      <c r="A121" s="20" t="s">
        <v>444</v>
      </c>
      <c r="B121" s="29">
        <v>268</v>
      </c>
    </row>
    <row r="122" spans="1:2" x14ac:dyDescent="0.25">
      <c r="A122" s="30" t="s">
        <v>695</v>
      </c>
      <c r="B122" s="29">
        <v>45</v>
      </c>
    </row>
    <row r="123" spans="1:2" x14ac:dyDescent="0.25">
      <c r="A123" s="30" t="s">
        <v>696</v>
      </c>
      <c r="B123" s="29">
        <v>223</v>
      </c>
    </row>
    <row r="124" spans="1:2" x14ac:dyDescent="0.25">
      <c r="A124" s="20" t="s">
        <v>583</v>
      </c>
      <c r="B124" s="29">
        <v>430</v>
      </c>
    </row>
    <row r="125" spans="1:2" x14ac:dyDescent="0.25">
      <c r="A125" s="30" t="s">
        <v>695</v>
      </c>
      <c r="B125" s="29">
        <v>412</v>
      </c>
    </row>
    <row r="126" spans="1:2" x14ac:dyDescent="0.25">
      <c r="A126" s="30" t="s">
        <v>696</v>
      </c>
      <c r="B126" s="29">
        <v>18</v>
      </c>
    </row>
    <row r="127" spans="1:2" x14ac:dyDescent="0.25">
      <c r="A127" s="20" t="s">
        <v>507</v>
      </c>
      <c r="B127" s="29">
        <v>187</v>
      </c>
    </row>
    <row r="128" spans="1:2" x14ac:dyDescent="0.25">
      <c r="A128" s="30" t="s">
        <v>695</v>
      </c>
      <c r="B128" s="29">
        <v>66</v>
      </c>
    </row>
    <row r="129" spans="1:2" x14ac:dyDescent="0.25">
      <c r="A129" s="30" t="s">
        <v>696</v>
      </c>
      <c r="B129" s="29">
        <v>121</v>
      </c>
    </row>
    <row r="130" spans="1:2" x14ac:dyDescent="0.25">
      <c r="A130" s="20" t="s">
        <v>603</v>
      </c>
      <c r="B130" s="29">
        <v>550</v>
      </c>
    </row>
    <row r="131" spans="1:2" x14ac:dyDescent="0.25">
      <c r="A131" s="30" t="s">
        <v>695</v>
      </c>
      <c r="B131" s="29">
        <v>432</v>
      </c>
    </row>
    <row r="132" spans="1:2" x14ac:dyDescent="0.25">
      <c r="A132" s="30" t="s">
        <v>696</v>
      </c>
      <c r="B132" s="29">
        <v>118</v>
      </c>
    </row>
    <row r="133" spans="1:2" x14ac:dyDescent="0.25">
      <c r="A133" s="20" t="s">
        <v>627</v>
      </c>
      <c r="B133" s="29">
        <v>62</v>
      </c>
    </row>
    <row r="134" spans="1:2" x14ac:dyDescent="0.25">
      <c r="A134" s="30" t="s">
        <v>695</v>
      </c>
      <c r="B134" s="29">
        <v>33</v>
      </c>
    </row>
    <row r="135" spans="1:2" x14ac:dyDescent="0.25">
      <c r="A135" s="30" t="s">
        <v>696</v>
      </c>
      <c r="B135" s="29">
        <v>29</v>
      </c>
    </row>
    <row r="136" spans="1:2" x14ac:dyDescent="0.25">
      <c r="A136" s="20" t="s">
        <v>62</v>
      </c>
      <c r="B136" s="29">
        <v>151</v>
      </c>
    </row>
    <row r="137" spans="1:2" x14ac:dyDescent="0.25">
      <c r="A137" s="30" t="s">
        <v>695</v>
      </c>
      <c r="B137" s="29">
        <v>64</v>
      </c>
    </row>
    <row r="138" spans="1:2" x14ac:dyDescent="0.25">
      <c r="A138" s="30" t="s">
        <v>696</v>
      </c>
      <c r="B138" s="29">
        <v>87</v>
      </c>
    </row>
    <row r="139" spans="1:2" x14ac:dyDescent="0.25">
      <c r="A139" s="20" t="s">
        <v>481</v>
      </c>
      <c r="B139" s="29">
        <v>80</v>
      </c>
    </row>
    <row r="140" spans="1:2" x14ac:dyDescent="0.25">
      <c r="A140" s="30" t="s">
        <v>695</v>
      </c>
      <c r="B140" s="29">
        <v>45</v>
      </c>
    </row>
    <row r="141" spans="1:2" x14ac:dyDescent="0.25">
      <c r="A141" s="30" t="s">
        <v>696</v>
      </c>
      <c r="B141" s="29">
        <v>35</v>
      </c>
    </row>
    <row r="142" spans="1:2" x14ac:dyDescent="0.25">
      <c r="A142" s="20" t="s">
        <v>27</v>
      </c>
      <c r="B142" s="29">
        <v>518</v>
      </c>
    </row>
    <row r="143" spans="1:2" x14ac:dyDescent="0.25">
      <c r="A143" s="30" t="s">
        <v>695</v>
      </c>
      <c r="B143" s="29">
        <v>464</v>
      </c>
    </row>
    <row r="144" spans="1:2" x14ac:dyDescent="0.25">
      <c r="A144" s="30" t="s">
        <v>696</v>
      </c>
      <c r="B144" s="29">
        <v>54</v>
      </c>
    </row>
    <row r="145" spans="1:2" x14ac:dyDescent="0.25">
      <c r="A145" s="20" t="s">
        <v>562</v>
      </c>
      <c r="B145" s="29">
        <v>148</v>
      </c>
    </row>
    <row r="146" spans="1:2" x14ac:dyDescent="0.25">
      <c r="A146" s="30" t="s">
        <v>695</v>
      </c>
      <c r="B146" s="29">
        <v>123</v>
      </c>
    </row>
    <row r="147" spans="1:2" x14ac:dyDescent="0.25">
      <c r="A147" s="30" t="s">
        <v>696</v>
      </c>
      <c r="B147" s="29">
        <v>25</v>
      </c>
    </row>
    <row r="148" spans="1:2" x14ac:dyDescent="0.25">
      <c r="A148" s="20" t="s">
        <v>657</v>
      </c>
      <c r="B148" s="29">
        <v>65</v>
      </c>
    </row>
    <row r="149" spans="1:2" x14ac:dyDescent="0.25">
      <c r="A149" s="30" t="s">
        <v>695</v>
      </c>
      <c r="B149" s="29">
        <v>22</v>
      </c>
    </row>
    <row r="150" spans="1:2" x14ac:dyDescent="0.25">
      <c r="A150" s="30" t="s">
        <v>696</v>
      </c>
      <c r="B150" s="29">
        <v>43</v>
      </c>
    </row>
    <row r="151" spans="1:2" x14ac:dyDescent="0.25">
      <c r="A151" s="20" t="s">
        <v>530</v>
      </c>
      <c r="B151" s="29">
        <v>478</v>
      </c>
    </row>
    <row r="152" spans="1:2" x14ac:dyDescent="0.25">
      <c r="A152" s="30" t="s">
        <v>695</v>
      </c>
      <c r="B152" s="29">
        <v>412</v>
      </c>
    </row>
    <row r="153" spans="1:2" x14ac:dyDescent="0.25">
      <c r="A153" s="30" t="s">
        <v>696</v>
      </c>
      <c r="B153" s="29">
        <v>66</v>
      </c>
    </row>
    <row r="154" spans="1:2" x14ac:dyDescent="0.25">
      <c r="A154" s="20" t="s">
        <v>438</v>
      </c>
      <c r="B154" s="29">
        <v>88</v>
      </c>
    </row>
    <row r="155" spans="1:2" x14ac:dyDescent="0.25">
      <c r="A155" s="30" t="s">
        <v>695</v>
      </c>
      <c r="B155" s="29">
        <v>34</v>
      </c>
    </row>
    <row r="156" spans="1:2" x14ac:dyDescent="0.25">
      <c r="A156" s="30" t="s">
        <v>696</v>
      </c>
      <c r="B156" s="29">
        <v>54</v>
      </c>
    </row>
    <row r="157" spans="1:2" x14ac:dyDescent="0.25">
      <c r="A157" s="20" t="s">
        <v>617</v>
      </c>
      <c r="B157" s="29">
        <v>76</v>
      </c>
    </row>
    <row r="158" spans="1:2" x14ac:dyDescent="0.25">
      <c r="A158" s="30" t="s">
        <v>695</v>
      </c>
      <c r="B158" s="29">
        <v>32</v>
      </c>
    </row>
    <row r="159" spans="1:2" x14ac:dyDescent="0.25">
      <c r="A159" s="30" t="s">
        <v>696</v>
      </c>
      <c r="B159" s="29">
        <v>44</v>
      </c>
    </row>
    <row r="160" spans="1:2" x14ac:dyDescent="0.25">
      <c r="A160" s="20" t="s">
        <v>74</v>
      </c>
      <c r="B160" s="29">
        <v>782</v>
      </c>
    </row>
    <row r="161" spans="1:2" x14ac:dyDescent="0.25">
      <c r="A161" s="30" t="s">
        <v>695</v>
      </c>
      <c r="B161" s="29">
        <v>720</v>
      </c>
    </row>
    <row r="162" spans="1:2" x14ac:dyDescent="0.25">
      <c r="A162" s="30" t="s">
        <v>696</v>
      </c>
      <c r="B162" s="29">
        <v>62</v>
      </c>
    </row>
    <row r="163" spans="1:2" x14ac:dyDescent="0.25">
      <c r="A163" s="20" t="s">
        <v>38</v>
      </c>
      <c r="B163" s="29">
        <v>298</v>
      </c>
    </row>
    <row r="164" spans="1:2" x14ac:dyDescent="0.25">
      <c r="A164" s="30" t="s">
        <v>695</v>
      </c>
      <c r="B164" s="29">
        <v>266</v>
      </c>
    </row>
    <row r="165" spans="1:2" x14ac:dyDescent="0.25">
      <c r="A165" s="30" t="s">
        <v>696</v>
      </c>
      <c r="B165" s="29">
        <v>32</v>
      </c>
    </row>
    <row r="166" spans="1:2" x14ac:dyDescent="0.25">
      <c r="A166" s="20" t="s">
        <v>432</v>
      </c>
      <c r="B166" s="29">
        <v>99</v>
      </c>
    </row>
    <row r="167" spans="1:2" x14ac:dyDescent="0.25">
      <c r="A167" s="30" t="s">
        <v>695</v>
      </c>
      <c r="B167" s="29">
        <v>56</v>
      </c>
    </row>
    <row r="168" spans="1:2" x14ac:dyDescent="0.25">
      <c r="A168" s="30" t="s">
        <v>696</v>
      </c>
      <c r="B168" s="29">
        <v>43</v>
      </c>
    </row>
    <row r="169" spans="1:2" x14ac:dyDescent="0.25">
      <c r="A169" s="20" t="s">
        <v>642</v>
      </c>
      <c r="B169" s="29">
        <v>54</v>
      </c>
    </row>
    <row r="170" spans="1:2" x14ac:dyDescent="0.25">
      <c r="A170" s="30" t="s">
        <v>695</v>
      </c>
      <c r="B170" s="29">
        <v>22</v>
      </c>
    </row>
    <row r="171" spans="1:2" x14ac:dyDescent="0.25">
      <c r="A171" s="30" t="s">
        <v>696</v>
      </c>
      <c r="B171" s="29">
        <v>32</v>
      </c>
    </row>
    <row r="172" spans="1:2" x14ac:dyDescent="0.25">
      <c r="A172" s="20" t="s">
        <v>674</v>
      </c>
      <c r="B172" s="29">
        <v>309</v>
      </c>
    </row>
    <row r="173" spans="1:2" x14ac:dyDescent="0.25">
      <c r="A173" s="30" t="s">
        <v>695</v>
      </c>
      <c r="B173" s="29">
        <v>232</v>
      </c>
    </row>
    <row r="174" spans="1:2" x14ac:dyDescent="0.25">
      <c r="A174" s="30" t="s">
        <v>696</v>
      </c>
      <c r="B174" s="29">
        <v>77</v>
      </c>
    </row>
    <row r="175" spans="1:2" x14ac:dyDescent="0.25">
      <c r="A175" s="20" t="s">
        <v>622</v>
      </c>
      <c r="B175" s="29">
        <v>79</v>
      </c>
    </row>
    <row r="176" spans="1:2" x14ac:dyDescent="0.25">
      <c r="A176" s="30" t="s">
        <v>695</v>
      </c>
      <c r="B176" s="29">
        <v>33</v>
      </c>
    </row>
    <row r="177" spans="1:2" x14ac:dyDescent="0.25">
      <c r="A177" s="30" t="s">
        <v>696</v>
      </c>
      <c r="B177" s="29">
        <v>46</v>
      </c>
    </row>
    <row r="178" spans="1:2" x14ac:dyDescent="0.25">
      <c r="A178" s="20" t="s">
        <v>578</v>
      </c>
      <c r="B178" s="29">
        <v>476</v>
      </c>
    </row>
    <row r="179" spans="1:2" x14ac:dyDescent="0.25">
      <c r="A179" s="30" t="s">
        <v>695</v>
      </c>
      <c r="B179" s="29">
        <v>431</v>
      </c>
    </row>
    <row r="180" spans="1:2" x14ac:dyDescent="0.25">
      <c r="A180" s="30" t="s">
        <v>696</v>
      </c>
      <c r="B180" s="29">
        <v>45</v>
      </c>
    </row>
    <row r="181" spans="1:2" x14ac:dyDescent="0.25">
      <c r="A181" s="20" t="s">
        <v>552</v>
      </c>
      <c r="B181" s="29">
        <v>346</v>
      </c>
    </row>
    <row r="182" spans="1:2" x14ac:dyDescent="0.25">
      <c r="A182" s="30" t="s">
        <v>695</v>
      </c>
      <c r="B182" s="29">
        <v>321</v>
      </c>
    </row>
    <row r="183" spans="1:2" x14ac:dyDescent="0.25">
      <c r="A183" s="30" t="s">
        <v>696</v>
      </c>
      <c r="B183" s="29">
        <v>25</v>
      </c>
    </row>
    <row r="184" spans="1:2" x14ac:dyDescent="0.25">
      <c r="A184" s="20" t="s">
        <v>557</v>
      </c>
      <c r="B184" s="29">
        <v>455</v>
      </c>
    </row>
    <row r="185" spans="1:2" x14ac:dyDescent="0.25">
      <c r="A185" s="30" t="s">
        <v>695</v>
      </c>
      <c r="B185" s="29">
        <v>421</v>
      </c>
    </row>
    <row r="186" spans="1:2" x14ac:dyDescent="0.25">
      <c r="A186" s="30" t="s">
        <v>696</v>
      </c>
      <c r="B186" s="29">
        <v>34</v>
      </c>
    </row>
    <row r="187" spans="1:2" x14ac:dyDescent="0.25">
      <c r="A187" s="20" t="s">
        <v>512</v>
      </c>
      <c r="B187" s="29">
        <v>87</v>
      </c>
    </row>
    <row r="188" spans="1:2" x14ac:dyDescent="0.25">
      <c r="A188" s="30" t="s">
        <v>695</v>
      </c>
      <c r="B188" s="29">
        <v>12</v>
      </c>
    </row>
    <row r="189" spans="1:2" x14ac:dyDescent="0.25">
      <c r="A189" s="30" t="s">
        <v>696</v>
      </c>
      <c r="B189" s="29">
        <v>75</v>
      </c>
    </row>
    <row r="190" spans="1:2" x14ac:dyDescent="0.25">
      <c r="A190" s="20" t="s">
        <v>56</v>
      </c>
      <c r="B190" s="29">
        <v>97</v>
      </c>
    </row>
    <row r="191" spans="1:2" x14ac:dyDescent="0.25">
      <c r="A191" s="30" t="s">
        <v>695</v>
      </c>
      <c r="B191" s="29">
        <v>54</v>
      </c>
    </row>
    <row r="192" spans="1:2" x14ac:dyDescent="0.25">
      <c r="A192" s="30" t="s">
        <v>696</v>
      </c>
      <c r="B192" s="29">
        <v>43</v>
      </c>
    </row>
    <row r="193" spans="1:2" x14ac:dyDescent="0.25">
      <c r="A193" s="20" t="s">
        <v>50</v>
      </c>
      <c r="B193" s="29">
        <v>884</v>
      </c>
    </row>
    <row r="194" spans="1:2" x14ac:dyDescent="0.25">
      <c r="A194" s="30" t="s">
        <v>695</v>
      </c>
      <c r="B194" s="29">
        <v>829</v>
      </c>
    </row>
    <row r="195" spans="1:2" x14ac:dyDescent="0.25">
      <c r="A195" s="30" t="s">
        <v>696</v>
      </c>
      <c r="B195" s="29">
        <v>55</v>
      </c>
    </row>
    <row r="196" spans="1:2" x14ac:dyDescent="0.25">
      <c r="A196" s="20" t="s">
        <v>100</v>
      </c>
      <c r="B196" s="29">
        <v>87</v>
      </c>
    </row>
    <row r="197" spans="1:2" x14ac:dyDescent="0.25">
      <c r="A197" s="30" t="s">
        <v>695</v>
      </c>
      <c r="B197" s="29">
        <v>64</v>
      </c>
    </row>
    <row r="198" spans="1:2" x14ac:dyDescent="0.25">
      <c r="A198" s="30" t="s">
        <v>696</v>
      </c>
      <c r="B198" s="29">
        <v>23</v>
      </c>
    </row>
    <row r="199" spans="1:2" x14ac:dyDescent="0.25">
      <c r="A199" s="20" t="s">
        <v>535</v>
      </c>
      <c r="B199" s="29">
        <v>375</v>
      </c>
    </row>
    <row r="200" spans="1:2" x14ac:dyDescent="0.25">
      <c r="A200" s="30" t="s">
        <v>695</v>
      </c>
      <c r="B200" s="29">
        <v>341</v>
      </c>
    </row>
    <row r="201" spans="1:2" x14ac:dyDescent="0.25">
      <c r="A201" s="30" t="s">
        <v>696</v>
      </c>
      <c r="B201" s="29">
        <v>34</v>
      </c>
    </row>
    <row r="202" spans="1:2" x14ac:dyDescent="0.25">
      <c r="A202" s="20" t="s">
        <v>661</v>
      </c>
      <c r="B202" s="29">
        <v>286</v>
      </c>
    </row>
    <row r="203" spans="1:2" x14ac:dyDescent="0.25">
      <c r="A203" s="30" t="s">
        <v>695</v>
      </c>
      <c r="B203" s="29">
        <v>233</v>
      </c>
    </row>
    <row r="204" spans="1:2" x14ac:dyDescent="0.25">
      <c r="A204" s="30" t="s">
        <v>696</v>
      </c>
      <c r="B204" s="29">
        <v>53</v>
      </c>
    </row>
    <row r="205" spans="1:2" x14ac:dyDescent="0.25">
      <c r="A205" s="20" t="s">
        <v>693</v>
      </c>
      <c r="B205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1A43-06A1-40D1-A6CE-763873B13DF7}">
  <sheetPr codeName="Planilha3"/>
  <dimension ref="A1:H210"/>
  <sheetViews>
    <sheetView showGridLines="0" topLeftCell="A10" zoomScale="101" workbookViewId="0">
      <selection activeCell="A10" sqref="A10:H210"/>
    </sheetView>
  </sheetViews>
  <sheetFormatPr defaultRowHeight="15" x14ac:dyDescent="0.25"/>
  <cols>
    <col min="1" max="1" width="14.85546875" customWidth="1"/>
    <col min="2" max="2" width="16.28515625" style="17" customWidth="1"/>
    <col min="4" max="4" width="19.42578125" customWidth="1"/>
    <col min="5" max="5" width="12" customWidth="1"/>
    <col min="7" max="7" width="15.28515625" customWidth="1"/>
    <col min="8" max="8" width="32.28515625" customWidth="1"/>
  </cols>
  <sheetData>
    <row r="1" spans="1:8" x14ac:dyDescent="0.25">
      <c r="A1" s="10" t="s">
        <v>125</v>
      </c>
      <c r="B1" s="18">
        <f>COUNTA(A:A)+1000-9</f>
        <v>1200</v>
      </c>
    </row>
    <row r="2" spans="1:8" x14ac:dyDescent="0.25">
      <c r="A2" s="10" t="s">
        <v>122</v>
      </c>
      <c r="B2" s="14">
        <f ca="1">TODAY()</f>
        <v>45917</v>
      </c>
    </row>
    <row r="3" spans="1:8" x14ac:dyDescent="0.25">
      <c r="A3" s="10" t="s">
        <v>123</v>
      </c>
      <c r="B3" s="13"/>
      <c r="F3" t="s">
        <v>120</v>
      </c>
    </row>
    <row r="4" spans="1:8" x14ac:dyDescent="0.25">
      <c r="A4" s="10" t="s">
        <v>112</v>
      </c>
      <c r="B4" s="18" t="e">
        <f>VLOOKUP(B3,Produtos!A65:I92,2,FALSE)</f>
        <v>#N/A</v>
      </c>
    </row>
    <row r="5" spans="1:8" x14ac:dyDescent="0.25">
      <c r="A5" s="10" t="s">
        <v>127</v>
      </c>
      <c r="B5" s="18" t="e">
        <f>VLOOKUP(B3,Produtos!A65:I92,3,FALSE)</f>
        <v>#N/A</v>
      </c>
      <c r="F5" t="s">
        <v>121</v>
      </c>
    </row>
    <row r="6" spans="1:8" x14ac:dyDescent="0.25">
      <c r="A6" s="10" t="s">
        <v>128</v>
      </c>
      <c r="B6" s="13"/>
    </row>
    <row r="7" spans="1:8" x14ac:dyDescent="0.25">
      <c r="A7" s="10" t="s">
        <v>129</v>
      </c>
      <c r="B7" s="4"/>
      <c r="F7" t="s">
        <v>134</v>
      </c>
    </row>
    <row r="8" spans="1:8" x14ac:dyDescent="0.25">
      <c r="A8" s="10" t="s">
        <v>130</v>
      </c>
      <c r="B8" s="18" t="e">
        <f>VLOOKUP(B7,Clientes!$A$1:$B$60,2,FALSE)</f>
        <v>#N/A</v>
      </c>
    </row>
    <row r="10" spans="1:8" x14ac:dyDescent="0.25">
      <c r="A10" s="10" t="s">
        <v>125</v>
      </c>
      <c r="B10" s="16" t="s">
        <v>122</v>
      </c>
      <c r="C10" s="10" t="s">
        <v>123</v>
      </c>
      <c r="D10" s="10" t="s">
        <v>112</v>
      </c>
      <c r="E10" s="10" t="s">
        <v>127</v>
      </c>
      <c r="F10" s="10" t="s">
        <v>128</v>
      </c>
      <c r="G10" s="10" t="s">
        <v>129</v>
      </c>
      <c r="H10" s="10" t="s">
        <v>130</v>
      </c>
    </row>
    <row r="11" spans="1:8" x14ac:dyDescent="0.25">
      <c r="A11" s="1">
        <v>1008</v>
      </c>
      <c r="B11" s="19">
        <v>45925</v>
      </c>
      <c r="C11" s="1">
        <v>10</v>
      </c>
      <c r="D11" s="1" t="s">
        <v>158</v>
      </c>
      <c r="E11" s="1" t="s">
        <v>138</v>
      </c>
      <c r="F11" s="1">
        <v>432</v>
      </c>
      <c r="G11" s="4" t="s">
        <v>26</v>
      </c>
      <c r="H11" s="5" t="s">
        <v>27</v>
      </c>
    </row>
    <row r="12" spans="1:8" x14ac:dyDescent="0.25">
      <c r="A12" s="1">
        <v>1013</v>
      </c>
      <c r="B12" s="19">
        <v>45930</v>
      </c>
      <c r="C12" s="1">
        <v>15</v>
      </c>
      <c r="D12" s="1" t="s">
        <v>162</v>
      </c>
      <c r="E12" s="1" t="s">
        <v>126</v>
      </c>
      <c r="F12" s="1">
        <v>432</v>
      </c>
      <c r="G12" s="7" t="s">
        <v>87</v>
      </c>
      <c r="H12" s="7" t="s">
        <v>88</v>
      </c>
    </row>
    <row r="13" spans="1:8" x14ac:dyDescent="0.25">
      <c r="A13" s="1">
        <v>1015</v>
      </c>
      <c r="B13" s="19">
        <v>45932</v>
      </c>
      <c r="C13" s="1">
        <v>17</v>
      </c>
      <c r="D13" s="1" t="s">
        <v>164</v>
      </c>
      <c r="E13" s="1" t="s">
        <v>138</v>
      </c>
      <c r="F13" s="1">
        <v>432</v>
      </c>
      <c r="G13" s="7" t="s">
        <v>49</v>
      </c>
      <c r="H13" s="7" t="s">
        <v>50</v>
      </c>
    </row>
    <row r="14" spans="1:8" x14ac:dyDescent="0.25">
      <c r="A14" s="1">
        <v>1048</v>
      </c>
      <c r="B14" s="19">
        <v>45965</v>
      </c>
      <c r="C14" s="1">
        <v>50</v>
      </c>
      <c r="D14" s="1" t="s">
        <v>188</v>
      </c>
      <c r="E14" s="1" t="s">
        <v>126</v>
      </c>
      <c r="F14" s="1">
        <v>432</v>
      </c>
      <c r="G14" s="1" t="s">
        <v>572</v>
      </c>
      <c r="H14" s="1" t="s">
        <v>573</v>
      </c>
    </row>
    <row r="15" spans="1:8" x14ac:dyDescent="0.25">
      <c r="A15" s="1">
        <v>1054</v>
      </c>
      <c r="B15" s="19">
        <v>45971</v>
      </c>
      <c r="C15" s="1">
        <v>56</v>
      </c>
      <c r="D15" s="1" t="s">
        <v>193</v>
      </c>
      <c r="E15" s="1" t="s">
        <v>126</v>
      </c>
      <c r="F15" s="1">
        <v>432</v>
      </c>
      <c r="G15" s="1" t="s">
        <v>602</v>
      </c>
      <c r="H15" s="1" t="s">
        <v>603</v>
      </c>
    </row>
    <row r="16" spans="1:8" x14ac:dyDescent="0.25">
      <c r="A16" s="1">
        <v>1049</v>
      </c>
      <c r="B16" s="19">
        <v>45966</v>
      </c>
      <c r="C16" s="1">
        <v>51</v>
      </c>
      <c r="D16" s="1" t="s">
        <v>189</v>
      </c>
      <c r="E16" s="1" t="s">
        <v>138</v>
      </c>
      <c r="F16" s="1">
        <v>431</v>
      </c>
      <c r="G16" s="1" t="s">
        <v>577</v>
      </c>
      <c r="H16" s="1" t="s">
        <v>578</v>
      </c>
    </row>
    <row r="17" spans="1:8" x14ac:dyDescent="0.25">
      <c r="A17" s="1">
        <v>1045</v>
      </c>
      <c r="B17" s="19">
        <v>45962</v>
      </c>
      <c r="C17" s="1">
        <v>47</v>
      </c>
      <c r="D17" s="1" t="s">
        <v>148</v>
      </c>
      <c r="E17" s="1" t="s">
        <v>126</v>
      </c>
      <c r="F17" s="1">
        <v>421</v>
      </c>
      <c r="G17" s="1" t="s">
        <v>556</v>
      </c>
      <c r="H17" s="1" t="s">
        <v>557</v>
      </c>
    </row>
    <row r="18" spans="1:8" x14ac:dyDescent="0.25">
      <c r="A18" s="1">
        <v>1040</v>
      </c>
      <c r="B18" s="19">
        <v>45957</v>
      </c>
      <c r="C18" s="1">
        <v>42</v>
      </c>
      <c r="D18" s="1" t="s">
        <v>184</v>
      </c>
      <c r="E18" s="1" t="s">
        <v>126</v>
      </c>
      <c r="F18" s="1">
        <v>412</v>
      </c>
      <c r="G18" s="1" t="s">
        <v>529</v>
      </c>
      <c r="H18" s="1" t="s">
        <v>530</v>
      </c>
    </row>
    <row r="19" spans="1:8" x14ac:dyDescent="0.25">
      <c r="A19" s="1">
        <v>1050</v>
      </c>
      <c r="B19" s="19">
        <v>45967</v>
      </c>
      <c r="C19" s="1">
        <v>52</v>
      </c>
      <c r="D19" s="1" t="s">
        <v>170</v>
      </c>
      <c r="E19" s="1" t="s">
        <v>126</v>
      </c>
      <c r="F19" s="1">
        <v>412</v>
      </c>
      <c r="G19" s="1" t="s">
        <v>582</v>
      </c>
      <c r="H19" s="1" t="s">
        <v>583</v>
      </c>
    </row>
    <row r="20" spans="1:8" x14ac:dyDescent="0.25">
      <c r="A20" s="1">
        <v>1004</v>
      </c>
      <c r="B20" s="19">
        <v>45921</v>
      </c>
      <c r="C20" s="1">
        <v>6</v>
      </c>
      <c r="D20" s="1" t="s">
        <v>146</v>
      </c>
      <c r="E20" s="1" t="s">
        <v>138</v>
      </c>
      <c r="F20" s="1">
        <v>343</v>
      </c>
      <c r="G20" s="4" t="s">
        <v>49</v>
      </c>
      <c r="H20" s="5" t="s">
        <v>50</v>
      </c>
    </row>
    <row r="21" spans="1:8" x14ac:dyDescent="0.25">
      <c r="A21" s="1">
        <v>1014</v>
      </c>
      <c r="B21" s="19">
        <v>45931</v>
      </c>
      <c r="C21" s="1">
        <v>16</v>
      </c>
      <c r="D21" s="1" t="s">
        <v>162</v>
      </c>
      <c r="E21" s="1" t="s">
        <v>126</v>
      </c>
      <c r="F21" s="1">
        <v>343</v>
      </c>
      <c r="G21" s="7" t="s">
        <v>73</v>
      </c>
      <c r="H21" s="7" t="s">
        <v>74</v>
      </c>
    </row>
    <row r="22" spans="1:8" x14ac:dyDescent="0.25">
      <c r="A22" s="1">
        <v>1060</v>
      </c>
      <c r="B22" s="19">
        <v>45977</v>
      </c>
      <c r="C22" s="1">
        <v>62</v>
      </c>
      <c r="D22" s="1" t="s">
        <v>197</v>
      </c>
      <c r="E22" s="1" t="s">
        <v>138</v>
      </c>
      <c r="F22" s="1">
        <v>343</v>
      </c>
      <c r="G22" s="1" t="s">
        <v>631</v>
      </c>
      <c r="H22" s="1" t="s">
        <v>632</v>
      </c>
    </row>
    <row r="23" spans="1:8" x14ac:dyDescent="0.25">
      <c r="A23" s="1">
        <v>1011</v>
      </c>
      <c r="B23" s="19">
        <v>45928</v>
      </c>
      <c r="C23" s="1">
        <v>13</v>
      </c>
      <c r="D23" s="1" t="s">
        <v>160</v>
      </c>
      <c r="E23" s="1" t="s">
        <v>126</v>
      </c>
      <c r="F23" s="1">
        <v>342</v>
      </c>
      <c r="G23" s="4" t="s">
        <v>11</v>
      </c>
      <c r="H23" s="5" t="s">
        <v>10</v>
      </c>
    </row>
    <row r="24" spans="1:8" x14ac:dyDescent="0.25">
      <c r="A24" s="1">
        <v>1001</v>
      </c>
      <c r="B24" s="19">
        <v>45918</v>
      </c>
      <c r="C24" s="1">
        <v>3</v>
      </c>
      <c r="D24" s="1" t="s">
        <v>146</v>
      </c>
      <c r="E24" s="1" t="s">
        <v>138</v>
      </c>
      <c r="F24" s="1">
        <v>341</v>
      </c>
      <c r="G24" s="4" t="s">
        <v>67</v>
      </c>
      <c r="H24" s="5" t="s">
        <v>68</v>
      </c>
    </row>
    <row r="25" spans="1:8" x14ac:dyDescent="0.25">
      <c r="A25" s="1">
        <v>1041</v>
      </c>
      <c r="B25" s="19">
        <v>45958</v>
      </c>
      <c r="C25" s="1">
        <v>43</v>
      </c>
      <c r="D25" s="1" t="s">
        <v>185</v>
      </c>
      <c r="E25" s="1" t="s">
        <v>126</v>
      </c>
      <c r="F25" s="1">
        <v>341</v>
      </c>
      <c r="G25" s="1" t="s">
        <v>534</v>
      </c>
      <c r="H25" s="1" t="s">
        <v>535</v>
      </c>
    </row>
    <row r="26" spans="1:8" x14ac:dyDescent="0.25">
      <c r="A26" s="1">
        <v>1071</v>
      </c>
      <c r="B26" s="19">
        <v>45988</v>
      </c>
      <c r="C26" s="1">
        <v>73</v>
      </c>
      <c r="D26" s="1" t="s">
        <v>205</v>
      </c>
      <c r="E26" s="1" t="s">
        <v>136</v>
      </c>
      <c r="F26" s="1">
        <v>332</v>
      </c>
      <c r="G26" s="4" t="s">
        <v>67</v>
      </c>
      <c r="H26" s="5" t="s">
        <v>68</v>
      </c>
    </row>
    <row r="27" spans="1:8" x14ac:dyDescent="0.25">
      <c r="A27" s="1">
        <v>1016</v>
      </c>
      <c r="B27" s="19">
        <v>45933</v>
      </c>
      <c r="C27" s="1">
        <v>18</v>
      </c>
      <c r="D27" s="1" t="s">
        <v>165</v>
      </c>
      <c r="E27" s="1" t="s">
        <v>126</v>
      </c>
      <c r="F27" s="1">
        <v>324</v>
      </c>
      <c r="G27" s="7" t="s">
        <v>93</v>
      </c>
      <c r="H27" s="7" t="s">
        <v>94</v>
      </c>
    </row>
    <row r="28" spans="1:8" x14ac:dyDescent="0.25">
      <c r="A28" s="1">
        <v>1012</v>
      </c>
      <c r="B28" s="19">
        <v>45929</v>
      </c>
      <c r="C28" s="1">
        <v>14</v>
      </c>
      <c r="D28" s="1" t="s">
        <v>161</v>
      </c>
      <c r="E28" s="1" t="s">
        <v>126</v>
      </c>
      <c r="F28" s="1">
        <v>323</v>
      </c>
      <c r="G28" s="7" t="s">
        <v>82</v>
      </c>
      <c r="H28" s="7" t="s">
        <v>83</v>
      </c>
    </row>
    <row r="29" spans="1:8" x14ac:dyDescent="0.25">
      <c r="A29" s="1">
        <v>1070</v>
      </c>
      <c r="B29" s="19">
        <v>45987</v>
      </c>
      <c r="C29" s="1">
        <v>72</v>
      </c>
      <c r="D29" s="1" t="s">
        <v>204</v>
      </c>
      <c r="E29" s="1" t="s">
        <v>138</v>
      </c>
      <c r="F29" s="1">
        <v>322</v>
      </c>
      <c r="G29" s="4" t="s">
        <v>73</v>
      </c>
      <c r="H29" s="5" t="s">
        <v>74</v>
      </c>
    </row>
    <row r="30" spans="1:8" x14ac:dyDescent="0.25">
      <c r="A30" s="1">
        <v>1044</v>
      </c>
      <c r="B30" s="19">
        <v>45961</v>
      </c>
      <c r="C30" s="1">
        <v>46</v>
      </c>
      <c r="D30" s="1" t="s">
        <v>186</v>
      </c>
      <c r="E30" s="1" t="s">
        <v>126</v>
      </c>
      <c r="F30" s="1">
        <v>321</v>
      </c>
      <c r="G30" s="1" t="s">
        <v>551</v>
      </c>
      <c r="H30" s="1" t="s">
        <v>552</v>
      </c>
    </row>
    <row r="31" spans="1:8" x14ac:dyDescent="0.25">
      <c r="A31" s="1">
        <v>1006</v>
      </c>
      <c r="B31" s="19">
        <v>45923</v>
      </c>
      <c r="C31" s="1">
        <v>8</v>
      </c>
      <c r="D31" s="1" t="s">
        <v>156</v>
      </c>
      <c r="E31" s="1" t="s">
        <v>126</v>
      </c>
      <c r="F31" s="1">
        <v>234</v>
      </c>
      <c r="G31" s="4" t="s">
        <v>37</v>
      </c>
      <c r="H31" s="5" t="s">
        <v>38</v>
      </c>
    </row>
    <row r="32" spans="1:8" x14ac:dyDescent="0.25">
      <c r="A32" s="1">
        <v>1005</v>
      </c>
      <c r="B32" s="19">
        <v>45922</v>
      </c>
      <c r="C32" s="1">
        <v>7</v>
      </c>
      <c r="D32" s="1" t="s">
        <v>154</v>
      </c>
      <c r="E32" s="1" t="s">
        <v>126</v>
      </c>
      <c r="F32" s="1">
        <v>233</v>
      </c>
      <c r="G32" s="4" t="s">
        <v>43</v>
      </c>
      <c r="H32" s="5" t="s">
        <v>44</v>
      </c>
    </row>
    <row r="33" spans="1:8" x14ac:dyDescent="0.25">
      <c r="A33" s="1">
        <v>1010</v>
      </c>
      <c r="B33" s="19">
        <v>45927</v>
      </c>
      <c r="C33" s="1">
        <v>12</v>
      </c>
      <c r="D33" s="1" t="s">
        <v>159</v>
      </c>
      <c r="E33" s="1" t="s">
        <v>126</v>
      </c>
      <c r="F33" s="1">
        <v>233</v>
      </c>
      <c r="G33" s="4" t="s">
        <v>15</v>
      </c>
      <c r="H33" s="5" t="s">
        <v>16</v>
      </c>
    </row>
    <row r="34" spans="1:8" x14ac:dyDescent="0.25">
      <c r="A34" s="1">
        <v>1066</v>
      </c>
      <c r="B34" s="19">
        <v>45983</v>
      </c>
      <c r="C34" s="1">
        <v>68</v>
      </c>
      <c r="D34" s="1" t="s">
        <v>202</v>
      </c>
      <c r="E34" s="1" t="s">
        <v>138</v>
      </c>
      <c r="F34" s="1">
        <v>233</v>
      </c>
      <c r="G34" s="1" t="s">
        <v>660</v>
      </c>
      <c r="H34" s="1" t="s">
        <v>661</v>
      </c>
    </row>
    <row r="35" spans="1:8" x14ac:dyDescent="0.25">
      <c r="A35" s="1">
        <v>1068</v>
      </c>
      <c r="B35" s="19">
        <v>45985</v>
      </c>
      <c r="C35" s="1">
        <v>70</v>
      </c>
      <c r="D35" s="1" t="s">
        <v>168</v>
      </c>
      <c r="E35" s="1" t="s">
        <v>126</v>
      </c>
      <c r="F35" s="1">
        <v>232</v>
      </c>
      <c r="G35" s="1" t="s">
        <v>669</v>
      </c>
      <c r="H35" s="1" t="s">
        <v>670</v>
      </c>
    </row>
    <row r="36" spans="1:8" x14ac:dyDescent="0.25">
      <c r="A36" s="1">
        <v>1069</v>
      </c>
      <c r="B36" s="19">
        <v>45986</v>
      </c>
      <c r="C36" s="1">
        <v>71</v>
      </c>
      <c r="D36" s="1" t="s">
        <v>189</v>
      </c>
      <c r="E36" s="1" t="s">
        <v>138</v>
      </c>
      <c r="F36" s="1">
        <v>232</v>
      </c>
      <c r="G36" s="1" t="s">
        <v>673</v>
      </c>
      <c r="H36" s="1" t="s">
        <v>674</v>
      </c>
    </row>
    <row r="37" spans="1:8" x14ac:dyDescent="0.25">
      <c r="A37" s="1">
        <v>1009</v>
      </c>
      <c r="B37" s="19">
        <v>45926</v>
      </c>
      <c r="C37" s="1">
        <v>11</v>
      </c>
      <c r="D37" s="1" t="s">
        <v>156</v>
      </c>
      <c r="E37" s="1" t="s">
        <v>126</v>
      </c>
      <c r="F37" s="1">
        <v>223</v>
      </c>
      <c r="G37" s="4" t="s">
        <v>20</v>
      </c>
      <c r="H37" s="5" t="s">
        <v>21</v>
      </c>
    </row>
    <row r="38" spans="1:8" x14ac:dyDescent="0.25">
      <c r="A38" s="1">
        <v>1163</v>
      </c>
      <c r="B38" s="19">
        <v>46080</v>
      </c>
      <c r="C38" s="1">
        <v>66</v>
      </c>
      <c r="D38" s="1" t="s">
        <v>201</v>
      </c>
      <c r="E38" s="1" t="s">
        <v>126</v>
      </c>
      <c r="F38" s="1">
        <v>223</v>
      </c>
      <c r="G38" s="1" t="s">
        <v>443</v>
      </c>
      <c r="H38" s="1" t="s">
        <v>444</v>
      </c>
    </row>
    <row r="39" spans="1:8" x14ac:dyDescent="0.25">
      <c r="A39" s="1">
        <v>1024</v>
      </c>
      <c r="B39" s="19">
        <v>45941</v>
      </c>
      <c r="C39" s="1">
        <v>26</v>
      </c>
      <c r="D39" s="1" t="s">
        <v>172</v>
      </c>
      <c r="E39" s="1" t="s">
        <v>126</v>
      </c>
      <c r="F39" s="1">
        <v>212</v>
      </c>
      <c r="G39" s="1" t="s">
        <v>449</v>
      </c>
      <c r="H39" s="1" t="s">
        <v>450</v>
      </c>
    </row>
    <row r="40" spans="1:8" x14ac:dyDescent="0.25">
      <c r="A40" s="1">
        <v>1063</v>
      </c>
      <c r="B40" s="19">
        <v>45980</v>
      </c>
      <c r="C40" s="1">
        <v>65</v>
      </c>
      <c r="D40" s="1" t="s">
        <v>200</v>
      </c>
      <c r="E40" s="1" t="s">
        <v>136</v>
      </c>
      <c r="F40" s="1">
        <v>212</v>
      </c>
      <c r="G40" s="1" t="s">
        <v>646</v>
      </c>
      <c r="H40" s="1" t="s">
        <v>647</v>
      </c>
    </row>
    <row r="41" spans="1:8" x14ac:dyDescent="0.25">
      <c r="A41" s="1">
        <v>1007</v>
      </c>
      <c r="B41" s="19">
        <v>45924</v>
      </c>
      <c r="C41" s="1">
        <v>9</v>
      </c>
      <c r="D41" s="1" t="s">
        <v>157</v>
      </c>
      <c r="E41" s="1" t="s">
        <v>126</v>
      </c>
      <c r="F41" s="1">
        <v>123</v>
      </c>
      <c r="G41" s="4" t="s">
        <v>32</v>
      </c>
      <c r="H41" s="5" t="s">
        <v>33</v>
      </c>
    </row>
    <row r="42" spans="1:8" x14ac:dyDescent="0.25">
      <c r="A42" s="1">
        <v>1039</v>
      </c>
      <c r="B42" s="19">
        <v>45956</v>
      </c>
      <c r="C42" s="1">
        <v>41</v>
      </c>
      <c r="D42" s="1" t="s">
        <v>183</v>
      </c>
      <c r="E42" s="1" t="s">
        <v>126</v>
      </c>
      <c r="F42" s="1">
        <v>123</v>
      </c>
      <c r="G42" s="1" t="s">
        <v>525</v>
      </c>
      <c r="H42" s="1" t="s">
        <v>526</v>
      </c>
    </row>
    <row r="43" spans="1:8" x14ac:dyDescent="0.25">
      <c r="A43" s="1">
        <v>1046</v>
      </c>
      <c r="B43" s="19">
        <v>45963</v>
      </c>
      <c r="C43" s="1">
        <v>48</v>
      </c>
      <c r="D43" s="1" t="s">
        <v>176</v>
      </c>
      <c r="E43" s="1" t="s">
        <v>126</v>
      </c>
      <c r="F43" s="1">
        <v>123</v>
      </c>
      <c r="G43" s="1" t="s">
        <v>561</v>
      </c>
      <c r="H43" s="1" t="s">
        <v>562</v>
      </c>
    </row>
    <row r="44" spans="1:8" x14ac:dyDescent="0.25">
      <c r="A44" s="1">
        <v>1047</v>
      </c>
      <c r="B44" s="19">
        <v>45964</v>
      </c>
      <c r="C44" s="1">
        <v>49</v>
      </c>
      <c r="D44" s="1" t="s">
        <v>187</v>
      </c>
      <c r="E44" s="1" t="s">
        <v>126</v>
      </c>
      <c r="F44" s="1">
        <v>123</v>
      </c>
      <c r="G44" s="1" t="s">
        <v>566</v>
      </c>
      <c r="H44" s="1" t="s">
        <v>567</v>
      </c>
    </row>
    <row r="45" spans="1:8" x14ac:dyDescent="0.25">
      <c r="A45" s="1">
        <v>1175</v>
      </c>
      <c r="B45" s="19">
        <v>46092</v>
      </c>
      <c r="C45" s="1">
        <v>78</v>
      </c>
      <c r="D45" s="1" t="s">
        <v>167</v>
      </c>
      <c r="E45" s="1" t="s">
        <v>126</v>
      </c>
      <c r="F45" s="1">
        <v>121</v>
      </c>
      <c r="G45" s="1" t="s">
        <v>506</v>
      </c>
      <c r="H45" s="1" t="s">
        <v>507</v>
      </c>
    </row>
    <row r="46" spans="1:8" x14ac:dyDescent="0.25">
      <c r="A46" s="1">
        <v>1142</v>
      </c>
      <c r="B46" s="19">
        <v>46059</v>
      </c>
      <c r="C46" s="1">
        <v>45</v>
      </c>
      <c r="D46" s="1" t="s">
        <v>162</v>
      </c>
      <c r="E46" s="1" t="s">
        <v>126</v>
      </c>
      <c r="F46" s="1">
        <v>87</v>
      </c>
      <c r="G46" s="4" t="s">
        <v>61</v>
      </c>
      <c r="H46" s="5" t="s">
        <v>62</v>
      </c>
    </row>
    <row r="47" spans="1:8" x14ac:dyDescent="0.25">
      <c r="A47" s="1">
        <v>1137</v>
      </c>
      <c r="B47" s="19">
        <v>46054</v>
      </c>
      <c r="C47" s="1">
        <v>40</v>
      </c>
      <c r="D47" s="1" t="s">
        <v>182</v>
      </c>
      <c r="E47" s="1" t="s">
        <v>126</v>
      </c>
      <c r="F47" s="1">
        <v>84</v>
      </c>
      <c r="G47" s="1" t="s">
        <v>665</v>
      </c>
      <c r="H47" s="1" t="s">
        <v>666</v>
      </c>
    </row>
    <row r="48" spans="1:8" x14ac:dyDescent="0.25">
      <c r="A48" s="1">
        <v>1139</v>
      </c>
      <c r="B48" s="19">
        <v>46056</v>
      </c>
      <c r="C48" s="1">
        <v>42</v>
      </c>
      <c r="D48" s="1" t="s">
        <v>184</v>
      </c>
      <c r="E48" s="1" t="s">
        <v>126</v>
      </c>
      <c r="F48" s="1">
        <v>77</v>
      </c>
      <c r="G48" s="1" t="s">
        <v>673</v>
      </c>
      <c r="H48" s="1" t="s">
        <v>674</v>
      </c>
    </row>
    <row r="49" spans="1:8" x14ac:dyDescent="0.25">
      <c r="A49" s="1">
        <v>1138</v>
      </c>
      <c r="B49" s="19">
        <v>46055</v>
      </c>
      <c r="C49" s="1">
        <v>41</v>
      </c>
      <c r="D49" s="1" t="s">
        <v>183</v>
      </c>
      <c r="E49" s="1" t="s">
        <v>126</v>
      </c>
      <c r="F49" s="1">
        <v>76</v>
      </c>
      <c r="G49" s="1" t="s">
        <v>669</v>
      </c>
      <c r="H49" s="1" t="s">
        <v>670</v>
      </c>
    </row>
    <row r="50" spans="1:8" x14ac:dyDescent="0.25">
      <c r="A50" s="1">
        <v>1194</v>
      </c>
      <c r="B50" s="19">
        <v>46111</v>
      </c>
      <c r="C50" s="1">
        <v>97</v>
      </c>
      <c r="D50" s="1" t="s">
        <v>158</v>
      </c>
      <c r="E50" s="1" t="s">
        <v>138</v>
      </c>
      <c r="F50" s="1">
        <v>75</v>
      </c>
      <c r="G50" s="1" t="s">
        <v>602</v>
      </c>
      <c r="H50" s="1" t="s">
        <v>603</v>
      </c>
    </row>
    <row r="51" spans="1:8" x14ac:dyDescent="0.25">
      <c r="A51" s="1">
        <v>1160</v>
      </c>
      <c r="B51" s="19">
        <v>46077</v>
      </c>
      <c r="C51" s="1">
        <v>63</v>
      </c>
      <c r="D51" s="1" t="s">
        <v>198</v>
      </c>
      <c r="E51" s="1" t="s">
        <v>126</v>
      </c>
      <c r="F51" s="1">
        <v>65</v>
      </c>
      <c r="G51" s="1" t="s">
        <v>425</v>
      </c>
      <c r="H51" s="1" t="s">
        <v>426</v>
      </c>
    </row>
    <row r="52" spans="1:8" x14ac:dyDescent="0.25">
      <c r="A52" s="1">
        <v>1153</v>
      </c>
      <c r="B52" s="19">
        <v>46070</v>
      </c>
      <c r="C52" s="1">
        <v>56</v>
      </c>
      <c r="D52" s="1" t="s">
        <v>193</v>
      </c>
      <c r="E52" s="1" t="s">
        <v>126</v>
      </c>
      <c r="F52" s="1">
        <v>56</v>
      </c>
      <c r="G52" s="7" t="s">
        <v>87</v>
      </c>
      <c r="H52" s="7" t="s">
        <v>88</v>
      </c>
    </row>
    <row r="53" spans="1:8" x14ac:dyDescent="0.25">
      <c r="A53" s="1">
        <v>1133</v>
      </c>
      <c r="B53" s="19">
        <v>46050</v>
      </c>
      <c r="C53" s="1">
        <v>36</v>
      </c>
      <c r="D53" s="1" t="s">
        <v>179</v>
      </c>
      <c r="E53" s="1" t="s">
        <v>126</v>
      </c>
      <c r="F53" s="1">
        <v>54</v>
      </c>
      <c r="G53" s="1" t="s">
        <v>646</v>
      </c>
      <c r="H53" s="1" t="s">
        <v>647</v>
      </c>
    </row>
    <row r="54" spans="1:8" x14ac:dyDescent="0.25">
      <c r="A54" s="1">
        <v>1148</v>
      </c>
      <c r="B54" s="19">
        <v>46065</v>
      </c>
      <c r="C54" s="1">
        <v>51</v>
      </c>
      <c r="D54" s="1" t="s">
        <v>189</v>
      </c>
      <c r="E54" s="1" t="s">
        <v>138</v>
      </c>
      <c r="F54" s="1">
        <v>54</v>
      </c>
      <c r="G54" s="4" t="s">
        <v>26</v>
      </c>
      <c r="H54" s="5" t="s">
        <v>27</v>
      </c>
    </row>
    <row r="55" spans="1:8" x14ac:dyDescent="0.25">
      <c r="A55" s="1">
        <v>1154</v>
      </c>
      <c r="B55" s="19">
        <v>46071</v>
      </c>
      <c r="C55" s="1">
        <v>57</v>
      </c>
      <c r="D55" s="1" t="s">
        <v>194</v>
      </c>
      <c r="E55" s="1" t="s">
        <v>126</v>
      </c>
      <c r="F55" s="1">
        <v>54</v>
      </c>
      <c r="G55" s="7" t="s">
        <v>73</v>
      </c>
      <c r="H55" s="7" t="s">
        <v>74</v>
      </c>
    </row>
    <row r="56" spans="1:8" x14ac:dyDescent="0.25">
      <c r="A56" s="1">
        <v>1162</v>
      </c>
      <c r="B56" s="19">
        <v>46079</v>
      </c>
      <c r="C56" s="1">
        <v>65</v>
      </c>
      <c r="D56" s="1" t="s">
        <v>200</v>
      </c>
      <c r="E56" s="1" t="s">
        <v>136</v>
      </c>
      <c r="F56" s="1">
        <v>54</v>
      </c>
      <c r="G56" s="1" t="s">
        <v>437</v>
      </c>
      <c r="H56" s="1" t="s">
        <v>438</v>
      </c>
    </row>
    <row r="57" spans="1:8" x14ac:dyDescent="0.25">
      <c r="A57" s="1">
        <v>1164</v>
      </c>
      <c r="B57" s="19">
        <v>46081</v>
      </c>
      <c r="C57" s="1">
        <v>67</v>
      </c>
      <c r="D57" s="1" t="s">
        <v>195</v>
      </c>
      <c r="E57" s="1" t="s">
        <v>126</v>
      </c>
      <c r="F57" s="1">
        <v>54</v>
      </c>
      <c r="G57" s="1" t="s">
        <v>449</v>
      </c>
      <c r="H57" s="1" t="s">
        <v>450</v>
      </c>
    </row>
    <row r="58" spans="1:8" x14ac:dyDescent="0.25">
      <c r="A58" s="1">
        <v>1136</v>
      </c>
      <c r="B58" s="19">
        <v>46053</v>
      </c>
      <c r="C58" s="1">
        <v>39</v>
      </c>
      <c r="D58" s="1" t="s">
        <v>181</v>
      </c>
      <c r="E58" s="1" t="s">
        <v>138</v>
      </c>
      <c r="F58" s="1">
        <v>53</v>
      </c>
      <c r="G58" s="1" t="s">
        <v>660</v>
      </c>
      <c r="H58" s="1" t="s">
        <v>661</v>
      </c>
    </row>
    <row r="59" spans="1:8" x14ac:dyDescent="0.25">
      <c r="A59" s="1">
        <v>1193</v>
      </c>
      <c r="B59" s="19">
        <v>46110</v>
      </c>
      <c r="C59" s="1">
        <v>96</v>
      </c>
      <c r="D59" s="1" t="s">
        <v>205</v>
      </c>
      <c r="E59" s="1" t="s">
        <v>136</v>
      </c>
      <c r="F59" s="1">
        <v>53</v>
      </c>
      <c r="G59" s="1" t="s">
        <v>597</v>
      </c>
      <c r="H59" s="1" t="s">
        <v>598</v>
      </c>
    </row>
    <row r="60" spans="1:8" x14ac:dyDescent="0.25">
      <c r="A60" s="1">
        <v>1141</v>
      </c>
      <c r="B60" s="19">
        <v>46058</v>
      </c>
      <c r="C60" s="1">
        <v>44</v>
      </c>
      <c r="D60" s="1" t="s">
        <v>178</v>
      </c>
      <c r="E60" s="1" t="s">
        <v>126</v>
      </c>
      <c r="F60" s="1">
        <v>45</v>
      </c>
      <c r="G60" s="4" t="s">
        <v>67</v>
      </c>
      <c r="H60" s="5" t="s">
        <v>68</v>
      </c>
    </row>
    <row r="61" spans="1:8" x14ac:dyDescent="0.25">
      <c r="A61" s="1">
        <v>1173</v>
      </c>
      <c r="B61" s="19">
        <v>46090</v>
      </c>
      <c r="C61" s="1">
        <v>76</v>
      </c>
      <c r="D61" s="1" t="s">
        <v>176</v>
      </c>
      <c r="E61" s="1" t="s">
        <v>126</v>
      </c>
      <c r="F61" s="1">
        <v>45</v>
      </c>
      <c r="G61" s="1" t="s">
        <v>496</v>
      </c>
      <c r="H61" s="1" t="s">
        <v>497</v>
      </c>
    </row>
    <row r="62" spans="1:8" x14ac:dyDescent="0.25">
      <c r="A62" s="1">
        <v>1018</v>
      </c>
      <c r="B62" s="19">
        <v>45935</v>
      </c>
      <c r="C62" s="1">
        <v>20</v>
      </c>
      <c r="D62" s="1" t="s">
        <v>167</v>
      </c>
      <c r="E62" s="1" t="s">
        <v>126</v>
      </c>
      <c r="F62" s="1">
        <v>43</v>
      </c>
      <c r="G62" s="7" t="s">
        <v>43</v>
      </c>
      <c r="H62" s="7" t="s">
        <v>44</v>
      </c>
    </row>
    <row r="63" spans="1:8" x14ac:dyDescent="0.25">
      <c r="A63" s="1">
        <v>1052</v>
      </c>
      <c r="B63" s="19">
        <v>45969</v>
      </c>
      <c r="C63" s="1">
        <v>54</v>
      </c>
      <c r="D63" s="1" t="s">
        <v>191</v>
      </c>
      <c r="E63" s="1" t="s">
        <v>126</v>
      </c>
      <c r="F63" s="1">
        <v>43</v>
      </c>
      <c r="G63" s="1" t="s">
        <v>592</v>
      </c>
      <c r="H63" s="1" t="s">
        <v>593</v>
      </c>
    </row>
    <row r="64" spans="1:8" x14ac:dyDescent="0.25">
      <c r="A64" s="1">
        <v>1061</v>
      </c>
      <c r="B64" s="19">
        <v>45978</v>
      </c>
      <c r="C64" s="1">
        <v>63</v>
      </c>
      <c r="D64" s="1" t="s">
        <v>198</v>
      </c>
      <c r="E64" s="1" t="s">
        <v>126</v>
      </c>
      <c r="F64" s="1">
        <v>43</v>
      </c>
      <c r="G64" s="1" t="s">
        <v>636</v>
      </c>
      <c r="H64" s="1" t="s">
        <v>637</v>
      </c>
    </row>
    <row r="65" spans="1:8" x14ac:dyDescent="0.25">
      <c r="A65" s="1">
        <v>1102</v>
      </c>
      <c r="B65" s="19">
        <v>46019</v>
      </c>
      <c r="C65" s="1">
        <v>5</v>
      </c>
      <c r="D65" s="1" t="s">
        <v>151</v>
      </c>
      <c r="E65" s="1" t="s">
        <v>126</v>
      </c>
      <c r="F65" s="1">
        <v>43</v>
      </c>
      <c r="G65" s="1" t="s">
        <v>491</v>
      </c>
      <c r="H65" s="1" t="s">
        <v>492</v>
      </c>
    </row>
    <row r="66" spans="1:8" x14ac:dyDescent="0.25">
      <c r="A66" s="1">
        <v>1103</v>
      </c>
      <c r="B66" s="19">
        <v>46020</v>
      </c>
      <c r="C66" s="1">
        <v>6</v>
      </c>
      <c r="D66" s="1" t="s">
        <v>146</v>
      </c>
      <c r="E66" s="1" t="s">
        <v>138</v>
      </c>
      <c r="F66" s="1">
        <v>43</v>
      </c>
      <c r="G66" s="1" t="s">
        <v>496</v>
      </c>
      <c r="H66" s="1" t="s">
        <v>497</v>
      </c>
    </row>
    <row r="67" spans="1:8" x14ac:dyDescent="0.25">
      <c r="A67" s="1">
        <v>1104</v>
      </c>
      <c r="B67" s="19">
        <v>46021</v>
      </c>
      <c r="C67" s="1">
        <v>7</v>
      </c>
      <c r="D67" s="1" t="s">
        <v>154</v>
      </c>
      <c r="E67" s="1" t="s">
        <v>126</v>
      </c>
      <c r="F67" s="1">
        <v>43</v>
      </c>
      <c r="G67" s="1" t="s">
        <v>501</v>
      </c>
      <c r="H67" s="1" t="s">
        <v>502</v>
      </c>
    </row>
    <row r="68" spans="1:8" x14ac:dyDescent="0.25">
      <c r="A68" s="1">
        <v>1105</v>
      </c>
      <c r="B68" s="19">
        <v>46022</v>
      </c>
      <c r="C68" s="1">
        <v>8</v>
      </c>
      <c r="D68" s="1" t="s">
        <v>156</v>
      </c>
      <c r="E68" s="1" t="s">
        <v>126</v>
      </c>
      <c r="F68" s="1">
        <v>43</v>
      </c>
      <c r="G68" s="1" t="s">
        <v>506</v>
      </c>
      <c r="H68" s="1" t="s">
        <v>507</v>
      </c>
    </row>
    <row r="69" spans="1:8" x14ac:dyDescent="0.25">
      <c r="A69" s="1">
        <v>1106</v>
      </c>
      <c r="B69" s="19">
        <v>46023</v>
      </c>
      <c r="C69" s="1">
        <v>9</v>
      </c>
      <c r="D69" s="1" t="s">
        <v>157</v>
      </c>
      <c r="E69" s="1" t="s">
        <v>126</v>
      </c>
      <c r="F69" s="1">
        <v>43</v>
      </c>
      <c r="G69" s="1" t="s">
        <v>511</v>
      </c>
      <c r="H69" s="1" t="s">
        <v>512</v>
      </c>
    </row>
    <row r="70" spans="1:8" x14ac:dyDescent="0.25">
      <c r="A70" s="1">
        <v>1107</v>
      </c>
      <c r="B70" s="19">
        <v>46024</v>
      </c>
      <c r="C70" s="1">
        <v>10</v>
      </c>
      <c r="D70" s="1" t="s">
        <v>158</v>
      </c>
      <c r="E70" s="1" t="s">
        <v>138</v>
      </c>
      <c r="F70" s="1">
        <v>43</v>
      </c>
      <c r="G70" s="1" t="s">
        <v>516</v>
      </c>
      <c r="H70" s="1" t="s">
        <v>517</v>
      </c>
    </row>
    <row r="71" spans="1:8" x14ac:dyDescent="0.25">
      <c r="A71" s="1">
        <v>1108</v>
      </c>
      <c r="B71" s="19">
        <v>46025</v>
      </c>
      <c r="C71" s="1">
        <v>11</v>
      </c>
      <c r="D71" s="1" t="s">
        <v>156</v>
      </c>
      <c r="E71" s="1" t="s">
        <v>126</v>
      </c>
      <c r="F71" s="1">
        <v>43</v>
      </c>
      <c r="G71" s="1" t="s">
        <v>521</v>
      </c>
      <c r="H71" s="1" t="s">
        <v>522</v>
      </c>
    </row>
    <row r="72" spans="1:8" x14ac:dyDescent="0.25">
      <c r="A72" s="1">
        <v>1109</v>
      </c>
      <c r="B72" s="19">
        <v>46026</v>
      </c>
      <c r="C72" s="1">
        <v>12</v>
      </c>
      <c r="D72" s="1" t="s">
        <v>159</v>
      </c>
      <c r="E72" s="1" t="s">
        <v>126</v>
      </c>
      <c r="F72" s="1">
        <v>43</v>
      </c>
      <c r="G72" s="1" t="s">
        <v>525</v>
      </c>
      <c r="H72" s="1" t="s">
        <v>526</v>
      </c>
    </row>
    <row r="73" spans="1:8" x14ac:dyDescent="0.25">
      <c r="A73" s="1">
        <v>1110</v>
      </c>
      <c r="B73" s="19">
        <v>46027</v>
      </c>
      <c r="C73" s="1">
        <v>13</v>
      </c>
      <c r="D73" s="1" t="s">
        <v>160</v>
      </c>
      <c r="E73" s="1" t="s">
        <v>126</v>
      </c>
      <c r="F73" s="1">
        <v>43</v>
      </c>
      <c r="G73" s="1" t="s">
        <v>529</v>
      </c>
      <c r="H73" s="1" t="s">
        <v>530</v>
      </c>
    </row>
    <row r="74" spans="1:8" x14ac:dyDescent="0.25">
      <c r="A74" s="1">
        <v>1124</v>
      </c>
      <c r="B74" s="19">
        <v>46041</v>
      </c>
      <c r="C74" s="1">
        <v>27</v>
      </c>
      <c r="D74" s="1" t="s">
        <v>171</v>
      </c>
      <c r="E74" s="1" t="s">
        <v>126</v>
      </c>
      <c r="F74" s="1">
        <v>43</v>
      </c>
      <c r="G74" s="1" t="s">
        <v>602</v>
      </c>
      <c r="H74" s="1" t="s">
        <v>603</v>
      </c>
    </row>
    <row r="75" spans="1:8" x14ac:dyDescent="0.25">
      <c r="A75" s="1">
        <v>1125</v>
      </c>
      <c r="B75" s="19">
        <v>46042</v>
      </c>
      <c r="C75" s="1">
        <v>28</v>
      </c>
      <c r="D75" s="1" t="s">
        <v>173</v>
      </c>
      <c r="E75" s="1" t="s">
        <v>126</v>
      </c>
      <c r="F75" s="1">
        <v>43</v>
      </c>
      <c r="G75" s="1" t="s">
        <v>606</v>
      </c>
      <c r="H75" s="1" t="s">
        <v>607</v>
      </c>
    </row>
    <row r="76" spans="1:8" x14ac:dyDescent="0.25">
      <c r="A76" s="1">
        <v>1131</v>
      </c>
      <c r="B76" s="19">
        <v>46048</v>
      </c>
      <c r="C76" s="1">
        <v>34</v>
      </c>
      <c r="D76" s="1" t="s">
        <v>139</v>
      </c>
      <c r="E76" s="1" t="s">
        <v>126</v>
      </c>
      <c r="F76" s="1">
        <v>43</v>
      </c>
      <c r="G76" s="1" t="s">
        <v>636</v>
      </c>
      <c r="H76" s="1" t="s">
        <v>637</v>
      </c>
    </row>
    <row r="77" spans="1:8" x14ac:dyDescent="0.25">
      <c r="A77" s="1">
        <v>1134</v>
      </c>
      <c r="B77" s="19">
        <v>46051</v>
      </c>
      <c r="C77" s="1">
        <v>37</v>
      </c>
      <c r="D77" s="1" t="s">
        <v>166</v>
      </c>
      <c r="E77" s="1" t="s">
        <v>136</v>
      </c>
      <c r="F77" s="1">
        <v>43</v>
      </c>
      <c r="G77" s="1" t="s">
        <v>651</v>
      </c>
      <c r="H77" s="1" t="s">
        <v>652</v>
      </c>
    </row>
    <row r="78" spans="1:8" x14ac:dyDescent="0.25">
      <c r="A78" s="1">
        <v>1135</v>
      </c>
      <c r="B78" s="19">
        <v>46052</v>
      </c>
      <c r="C78" s="1">
        <v>38</v>
      </c>
      <c r="D78" s="1" t="s">
        <v>180</v>
      </c>
      <c r="E78" s="1" t="s">
        <v>126</v>
      </c>
      <c r="F78" s="1">
        <v>43</v>
      </c>
      <c r="G78" s="1" t="s">
        <v>656</v>
      </c>
      <c r="H78" s="1" t="s">
        <v>657</v>
      </c>
    </row>
    <row r="79" spans="1:8" x14ac:dyDescent="0.25">
      <c r="A79" s="1">
        <v>1143</v>
      </c>
      <c r="B79" s="19">
        <v>46060</v>
      </c>
      <c r="C79" s="1">
        <v>46</v>
      </c>
      <c r="D79" s="1" t="s">
        <v>186</v>
      </c>
      <c r="E79" s="1" t="s">
        <v>126</v>
      </c>
      <c r="F79" s="1">
        <v>43</v>
      </c>
      <c r="G79" s="4" t="s">
        <v>55</v>
      </c>
      <c r="H79" s="5" t="s">
        <v>56</v>
      </c>
    </row>
    <row r="80" spans="1:8" x14ac:dyDescent="0.25">
      <c r="A80" s="1">
        <v>1145</v>
      </c>
      <c r="B80" s="19">
        <v>46062</v>
      </c>
      <c r="C80" s="1">
        <v>48</v>
      </c>
      <c r="D80" s="1" t="s">
        <v>176</v>
      </c>
      <c r="E80" s="1" t="s">
        <v>126</v>
      </c>
      <c r="F80" s="1">
        <v>43</v>
      </c>
      <c r="G80" s="4" t="s">
        <v>43</v>
      </c>
      <c r="H80" s="5" t="s">
        <v>44</v>
      </c>
    </row>
    <row r="81" spans="1:8" x14ac:dyDescent="0.25">
      <c r="A81" s="1">
        <v>1151</v>
      </c>
      <c r="B81" s="19">
        <v>46068</v>
      </c>
      <c r="C81" s="1">
        <v>54</v>
      </c>
      <c r="D81" s="1" t="s">
        <v>191</v>
      </c>
      <c r="E81" s="1" t="s">
        <v>126</v>
      </c>
      <c r="F81" s="1">
        <v>43</v>
      </c>
      <c r="G81" s="4" t="s">
        <v>11</v>
      </c>
      <c r="H81" s="5" t="s">
        <v>10</v>
      </c>
    </row>
    <row r="82" spans="1:8" x14ac:dyDescent="0.25">
      <c r="A82" s="1">
        <v>1155</v>
      </c>
      <c r="B82" s="19">
        <v>46072</v>
      </c>
      <c r="C82" s="1">
        <v>58</v>
      </c>
      <c r="D82" s="1" t="s">
        <v>195</v>
      </c>
      <c r="E82" s="1" t="s">
        <v>126</v>
      </c>
      <c r="F82" s="1">
        <v>43</v>
      </c>
      <c r="G82" s="7" t="s">
        <v>49</v>
      </c>
      <c r="H82" s="7" t="s">
        <v>50</v>
      </c>
    </row>
    <row r="83" spans="1:8" x14ac:dyDescent="0.25">
      <c r="A83" s="1">
        <v>1156</v>
      </c>
      <c r="B83" s="19">
        <v>46073</v>
      </c>
      <c r="C83" s="1">
        <v>59</v>
      </c>
      <c r="D83" s="1" t="s">
        <v>154</v>
      </c>
      <c r="E83" s="1" t="s">
        <v>126</v>
      </c>
      <c r="F83" s="1">
        <v>43</v>
      </c>
      <c r="G83" s="7" t="s">
        <v>93</v>
      </c>
      <c r="H83" s="7" t="s">
        <v>94</v>
      </c>
    </row>
    <row r="84" spans="1:8" x14ac:dyDescent="0.25">
      <c r="A84" s="1">
        <v>1159</v>
      </c>
      <c r="B84" s="19">
        <v>46076</v>
      </c>
      <c r="C84" s="1">
        <v>62</v>
      </c>
      <c r="D84" s="1" t="s">
        <v>197</v>
      </c>
      <c r="E84" s="1" t="s">
        <v>138</v>
      </c>
      <c r="F84" s="1">
        <v>43</v>
      </c>
      <c r="G84" s="7" t="s">
        <v>105</v>
      </c>
      <c r="H84" s="7" t="s">
        <v>106</v>
      </c>
    </row>
    <row r="85" spans="1:8" x14ac:dyDescent="0.25">
      <c r="A85" s="1">
        <v>1161</v>
      </c>
      <c r="B85" s="19">
        <v>46078</v>
      </c>
      <c r="C85" s="1">
        <v>64</v>
      </c>
      <c r="D85" s="1" t="s">
        <v>199</v>
      </c>
      <c r="E85" s="1" t="s">
        <v>126</v>
      </c>
      <c r="F85" s="1">
        <v>43</v>
      </c>
      <c r="G85" s="1" t="s">
        <v>431</v>
      </c>
      <c r="H85" s="1" t="s">
        <v>432</v>
      </c>
    </row>
    <row r="86" spans="1:8" x14ac:dyDescent="0.25">
      <c r="A86" s="1">
        <v>1188</v>
      </c>
      <c r="B86" s="19">
        <v>46105</v>
      </c>
      <c r="C86" s="1">
        <v>91</v>
      </c>
      <c r="D86" s="1" t="s">
        <v>178</v>
      </c>
      <c r="E86" s="1" t="s">
        <v>126</v>
      </c>
      <c r="F86" s="1">
        <v>43</v>
      </c>
      <c r="G86" s="1" t="s">
        <v>572</v>
      </c>
      <c r="H86" s="1" t="s">
        <v>573</v>
      </c>
    </row>
    <row r="87" spans="1:8" x14ac:dyDescent="0.25">
      <c r="A87" s="1">
        <v>1002</v>
      </c>
      <c r="B87" s="19">
        <v>45919</v>
      </c>
      <c r="C87" s="1">
        <v>4</v>
      </c>
      <c r="D87" s="1" t="s">
        <v>148</v>
      </c>
      <c r="E87" s="1" t="s">
        <v>126</v>
      </c>
      <c r="F87" s="1">
        <v>42</v>
      </c>
      <c r="G87" s="4" t="s">
        <v>61</v>
      </c>
      <c r="H87" s="5" t="s">
        <v>62</v>
      </c>
    </row>
    <row r="88" spans="1:8" x14ac:dyDescent="0.25">
      <c r="A88" s="1">
        <v>1126</v>
      </c>
      <c r="B88" s="19">
        <v>46043</v>
      </c>
      <c r="C88" s="1">
        <v>29</v>
      </c>
      <c r="D88" s="1" t="s">
        <v>174</v>
      </c>
      <c r="E88" s="1" t="s">
        <v>126</v>
      </c>
      <c r="F88" s="1">
        <v>42</v>
      </c>
      <c r="G88" s="1" t="s">
        <v>611</v>
      </c>
      <c r="H88" s="1" t="s">
        <v>612</v>
      </c>
    </row>
    <row r="89" spans="1:8" x14ac:dyDescent="0.25">
      <c r="A89" s="1">
        <v>1191</v>
      </c>
      <c r="B89" s="19">
        <v>46108</v>
      </c>
      <c r="C89" s="1">
        <v>94</v>
      </c>
      <c r="D89" s="1" t="s">
        <v>186</v>
      </c>
      <c r="E89" s="1" t="s">
        <v>126</v>
      </c>
      <c r="F89" s="1">
        <v>42</v>
      </c>
      <c r="G89" s="1" t="s">
        <v>587</v>
      </c>
      <c r="H89" s="1" t="s">
        <v>588</v>
      </c>
    </row>
    <row r="90" spans="1:8" x14ac:dyDescent="0.25">
      <c r="A90" s="1">
        <v>1170</v>
      </c>
      <c r="B90" s="19">
        <v>46087</v>
      </c>
      <c r="C90" s="1">
        <v>73</v>
      </c>
      <c r="D90" s="1" t="s">
        <v>205</v>
      </c>
      <c r="E90" s="1" t="s">
        <v>136</v>
      </c>
      <c r="F90" s="1">
        <v>35</v>
      </c>
      <c r="G90" s="1" t="s">
        <v>480</v>
      </c>
      <c r="H90" s="1" t="s">
        <v>481</v>
      </c>
    </row>
    <row r="91" spans="1:8" x14ac:dyDescent="0.25">
      <c r="A91" s="1">
        <v>1020</v>
      </c>
      <c r="B91" s="19">
        <v>45937</v>
      </c>
      <c r="C91" s="1">
        <v>22</v>
      </c>
      <c r="D91" s="1" t="s">
        <v>169</v>
      </c>
      <c r="E91" s="1" t="s">
        <v>136</v>
      </c>
      <c r="F91" s="1">
        <v>34</v>
      </c>
      <c r="G91" s="1" t="s">
        <v>425</v>
      </c>
      <c r="H91" s="1" t="s">
        <v>426</v>
      </c>
    </row>
    <row r="92" spans="1:8" x14ac:dyDescent="0.25">
      <c r="A92" s="1">
        <v>1021</v>
      </c>
      <c r="B92" s="19">
        <v>45938</v>
      </c>
      <c r="C92" s="1">
        <v>23</v>
      </c>
      <c r="D92" s="1" t="s">
        <v>170</v>
      </c>
      <c r="E92" s="1" t="s">
        <v>126</v>
      </c>
      <c r="F92" s="1">
        <v>34</v>
      </c>
      <c r="G92" s="1" t="s">
        <v>431</v>
      </c>
      <c r="H92" s="1" t="s">
        <v>432</v>
      </c>
    </row>
    <row r="93" spans="1:8" x14ac:dyDescent="0.25">
      <c r="A93" s="1">
        <v>1053</v>
      </c>
      <c r="B93" s="19">
        <v>45970</v>
      </c>
      <c r="C93" s="1">
        <v>55</v>
      </c>
      <c r="D93" s="1" t="s">
        <v>192</v>
      </c>
      <c r="E93" s="1" t="s">
        <v>126</v>
      </c>
      <c r="F93" s="1">
        <v>34</v>
      </c>
      <c r="G93" s="1" t="s">
        <v>597</v>
      </c>
      <c r="H93" s="1" t="s">
        <v>598</v>
      </c>
    </row>
    <row r="94" spans="1:8" x14ac:dyDescent="0.25">
      <c r="A94" s="1">
        <v>1166</v>
      </c>
      <c r="B94" s="19">
        <v>46083</v>
      </c>
      <c r="C94" s="1">
        <v>69</v>
      </c>
      <c r="D94" s="1" t="s">
        <v>203</v>
      </c>
      <c r="E94" s="1" t="s">
        <v>138</v>
      </c>
      <c r="F94" s="1">
        <v>34</v>
      </c>
      <c r="G94" s="1" t="s">
        <v>460</v>
      </c>
      <c r="H94" s="1" t="s">
        <v>461</v>
      </c>
    </row>
    <row r="95" spans="1:8" x14ac:dyDescent="0.25">
      <c r="A95" s="1">
        <v>1196</v>
      </c>
      <c r="B95" s="19">
        <v>46113</v>
      </c>
      <c r="C95" s="1">
        <v>99</v>
      </c>
      <c r="D95" s="1" t="s">
        <v>148</v>
      </c>
      <c r="E95" s="1" t="s">
        <v>126</v>
      </c>
      <c r="F95" s="1">
        <v>34</v>
      </c>
      <c r="G95" s="1" t="s">
        <v>611</v>
      </c>
      <c r="H95" s="1" t="s">
        <v>612</v>
      </c>
    </row>
    <row r="96" spans="1:8" x14ac:dyDescent="0.25">
      <c r="A96" s="1">
        <v>1032</v>
      </c>
      <c r="B96" s="19">
        <v>45949</v>
      </c>
      <c r="C96" s="1">
        <v>34</v>
      </c>
      <c r="D96" s="1" t="s">
        <v>139</v>
      </c>
      <c r="E96" s="1" t="s">
        <v>126</v>
      </c>
      <c r="F96" s="1">
        <v>33</v>
      </c>
      <c r="G96" s="1" t="s">
        <v>491</v>
      </c>
      <c r="H96" s="1" t="s">
        <v>492</v>
      </c>
    </row>
    <row r="97" spans="1:8" x14ac:dyDescent="0.25">
      <c r="A97" s="1">
        <v>1058</v>
      </c>
      <c r="B97" s="19">
        <v>45975</v>
      </c>
      <c r="C97" s="1">
        <v>60</v>
      </c>
      <c r="D97" s="1" t="s">
        <v>196</v>
      </c>
      <c r="E97" s="1" t="s">
        <v>138</v>
      </c>
      <c r="F97" s="1">
        <v>33</v>
      </c>
      <c r="G97" s="1" t="s">
        <v>621</v>
      </c>
      <c r="H97" s="1" t="s">
        <v>622</v>
      </c>
    </row>
    <row r="98" spans="1:8" x14ac:dyDescent="0.25">
      <c r="A98" s="1">
        <v>1059</v>
      </c>
      <c r="B98" s="19">
        <v>45976</v>
      </c>
      <c r="C98" s="1">
        <v>61</v>
      </c>
      <c r="D98" s="1" t="s">
        <v>193</v>
      </c>
      <c r="E98" s="1" t="s">
        <v>126</v>
      </c>
      <c r="F98" s="1">
        <v>33</v>
      </c>
      <c r="G98" s="1" t="s">
        <v>626</v>
      </c>
      <c r="H98" s="1" t="s">
        <v>627</v>
      </c>
    </row>
    <row r="99" spans="1:8" x14ac:dyDescent="0.25">
      <c r="A99" s="1">
        <v>1067</v>
      </c>
      <c r="B99" s="19">
        <v>45984</v>
      </c>
      <c r="C99" s="1">
        <v>69</v>
      </c>
      <c r="D99" s="1" t="s">
        <v>203</v>
      </c>
      <c r="E99" s="1" t="s">
        <v>138</v>
      </c>
      <c r="F99" s="1">
        <v>33</v>
      </c>
      <c r="G99" s="1" t="s">
        <v>665</v>
      </c>
      <c r="H99" s="1" t="s">
        <v>666</v>
      </c>
    </row>
    <row r="100" spans="1:8" x14ac:dyDescent="0.25">
      <c r="A100" s="1">
        <v>1003</v>
      </c>
      <c r="B100" s="19">
        <v>45920</v>
      </c>
      <c r="C100" s="1">
        <v>5</v>
      </c>
      <c r="D100" s="1" t="s">
        <v>151</v>
      </c>
      <c r="E100" s="1" t="s">
        <v>126</v>
      </c>
      <c r="F100" s="1">
        <v>32</v>
      </c>
      <c r="G100" s="4" t="s">
        <v>55</v>
      </c>
      <c r="H100" s="5" t="s">
        <v>56</v>
      </c>
    </row>
    <row r="101" spans="1:8" x14ac:dyDescent="0.25">
      <c r="A101" s="1">
        <v>1017</v>
      </c>
      <c r="B101" s="19">
        <v>45934</v>
      </c>
      <c r="C101" s="1">
        <v>19</v>
      </c>
      <c r="D101" s="1" t="s">
        <v>166</v>
      </c>
      <c r="E101" s="1" t="s">
        <v>136</v>
      </c>
      <c r="F101" s="1">
        <v>32</v>
      </c>
      <c r="G101" s="7" t="s">
        <v>99</v>
      </c>
      <c r="H101" s="7" t="s">
        <v>100</v>
      </c>
    </row>
    <row r="102" spans="1:8" x14ac:dyDescent="0.25">
      <c r="A102" s="1">
        <v>1019</v>
      </c>
      <c r="B102" s="19">
        <v>45936</v>
      </c>
      <c r="C102" s="1">
        <v>21</v>
      </c>
      <c r="D102" s="1" t="s">
        <v>168</v>
      </c>
      <c r="E102" s="1" t="s">
        <v>126</v>
      </c>
      <c r="F102" s="1">
        <v>32</v>
      </c>
      <c r="G102" s="7" t="s">
        <v>105</v>
      </c>
      <c r="H102" s="7" t="s">
        <v>106</v>
      </c>
    </row>
    <row r="103" spans="1:8" x14ac:dyDescent="0.25">
      <c r="A103" s="1">
        <v>1025</v>
      </c>
      <c r="B103" s="19">
        <v>45942</v>
      </c>
      <c r="C103" s="1">
        <v>27</v>
      </c>
      <c r="D103" s="1" t="s">
        <v>171</v>
      </c>
      <c r="E103" s="1" t="s">
        <v>126</v>
      </c>
      <c r="F103" s="1">
        <v>32</v>
      </c>
      <c r="G103" s="1" t="s">
        <v>455</v>
      </c>
      <c r="H103" s="1" t="s">
        <v>456</v>
      </c>
    </row>
    <row r="104" spans="1:8" x14ac:dyDescent="0.25">
      <c r="A104" s="1">
        <v>1056</v>
      </c>
      <c r="B104" s="19">
        <v>45973</v>
      </c>
      <c r="C104" s="1">
        <v>58</v>
      </c>
      <c r="D104" s="1" t="s">
        <v>195</v>
      </c>
      <c r="E104" s="1" t="s">
        <v>126</v>
      </c>
      <c r="F104" s="1">
        <v>32</v>
      </c>
      <c r="G104" s="1" t="s">
        <v>611</v>
      </c>
      <c r="H104" s="1" t="s">
        <v>612</v>
      </c>
    </row>
    <row r="105" spans="1:8" x14ac:dyDescent="0.25">
      <c r="A105" s="1">
        <v>1057</v>
      </c>
      <c r="B105" s="19">
        <v>45974</v>
      </c>
      <c r="C105" s="1">
        <v>59</v>
      </c>
      <c r="D105" s="1" t="s">
        <v>154</v>
      </c>
      <c r="E105" s="1" t="s">
        <v>126</v>
      </c>
      <c r="F105" s="1">
        <v>32</v>
      </c>
      <c r="G105" s="1" t="s">
        <v>616</v>
      </c>
      <c r="H105" s="1" t="s">
        <v>617</v>
      </c>
    </row>
    <row r="106" spans="1:8" x14ac:dyDescent="0.25">
      <c r="A106" s="1">
        <v>1064</v>
      </c>
      <c r="B106" s="19">
        <v>45981</v>
      </c>
      <c r="C106" s="1">
        <v>66</v>
      </c>
      <c r="D106" s="1" t="s">
        <v>201</v>
      </c>
      <c r="E106" s="1" t="s">
        <v>126</v>
      </c>
      <c r="F106" s="1">
        <v>32</v>
      </c>
      <c r="G106" s="1" t="s">
        <v>651</v>
      </c>
      <c r="H106" s="1" t="s">
        <v>652</v>
      </c>
    </row>
    <row r="107" spans="1:8" x14ac:dyDescent="0.25">
      <c r="A107" s="1">
        <v>1075</v>
      </c>
      <c r="B107" s="19">
        <v>45992</v>
      </c>
      <c r="C107" s="1">
        <v>77</v>
      </c>
      <c r="D107" s="1" t="s">
        <v>206</v>
      </c>
      <c r="E107" s="1" t="s">
        <v>138</v>
      </c>
      <c r="F107" s="1">
        <v>32</v>
      </c>
      <c r="G107" s="4" t="s">
        <v>43</v>
      </c>
      <c r="H107" s="5" t="s">
        <v>44</v>
      </c>
    </row>
    <row r="108" spans="1:8" x14ac:dyDescent="0.25">
      <c r="A108" s="1">
        <v>1076</v>
      </c>
      <c r="B108" s="19">
        <v>45993</v>
      </c>
      <c r="C108" s="1">
        <v>78</v>
      </c>
      <c r="D108" s="1" t="s">
        <v>167</v>
      </c>
      <c r="E108" s="1" t="s">
        <v>126</v>
      </c>
      <c r="F108" s="1">
        <v>32</v>
      </c>
      <c r="G108" s="4" t="s">
        <v>37</v>
      </c>
      <c r="H108" s="5" t="s">
        <v>38</v>
      </c>
    </row>
    <row r="109" spans="1:8" x14ac:dyDescent="0.25">
      <c r="A109" s="1">
        <v>1077</v>
      </c>
      <c r="B109" s="19">
        <v>45994</v>
      </c>
      <c r="C109" s="1">
        <v>79</v>
      </c>
      <c r="D109" s="1" t="s">
        <v>207</v>
      </c>
      <c r="E109" s="1" t="s">
        <v>138</v>
      </c>
      <c r="F109" s="1">
        <v>32</v>
      </c>
      <c r="G109" s="4" t="s">
        <v>32</v>
      </c>
      <c r="H109" s="5" t="s">
        <v>33</v>
      </c>
    </row>
    <row r="110" spans="1:8" x14ac:dyDescent="0.25">
      <c r="A110" s="1">
        <v>1078</v>
      </c>
      <c r="B110" s="19">
        <v>45995</v>
      </c>
      <c r="C110" s="1">
        <v>80</v>
      </c>
      <c r="D110" s="1" t="s">
        <v>158</v>
      </c>
      <c r="E110" s="1" t="s">
        <v>138</v>
      </c>
      <c r="F110" s="1">
        <v>32</v>
      </c>
      <c r="G110" s="4" t="s">
        <v>26</v>
      </c>
      <c r="H110" s="5" t="s">
        <v>27</v>
      </c>
    </row>
    <row r="111" spans="1:8" x14ac:dyDescent="0.25">
      <c r="A111" s="1">
        <v>1079</v>
      </c>
      <c r="B111" s="19">
        <v>45996</v>
      </c>
      <c r="C111" s="1">
        <v>81</v>
      </c>
      <c r="D111" s="1" t="s">
        <v>166</v>
      </c>
      <c r="E111" s="1" t="s">
        <v>136</v>
      </c>
      <c r="F111" s="1">
        <v>32</v>
      </c>
      <c r="G111" s="4" t="s">
        <v>20</v>
      </c>
      <c r="H111" s="5" t="s">
        <v>21</v>
      </c>
    </row>
    <row r="112" spans="1:8" x14ac:dyDescent="0.25">
      <c r="A112" s="1">
        <v>1080</v>
      </c>
      <c r="B112" s="19">
        <v>45997</v>
      </c>
      <c r="C112" s="1">
        <v>82</v>
      </c>
      <c r="D112" s="1" t="s">
        <v>154</v>
      </c>
      <c r="E112" s="1" t="s">
        <v>126</v>
      </c>
      <c r="F112" s="1">
        <v>32</v>
      </c>
      <c r="G112" s="4" t="s">
        <v>15</v>
      </c>
      <c r="H112" s="5" t="s">
        <v>16</v>
      </c>
    </row>
    <row r="113" spans="1:8" x14ac:dyDescent="0.25">
      <c r="A113" s="1">
        <v>1081</v>
      </c>
      <c r="B113" s="19">
        <v>45998</v>
      </c>
      <c r="C113" s="1">
        <v>83</v>
      </c>
      <c r="D113" s="1" t="s">
        <v>180</v>
      </c>
      <c r="E113" s="1" t="s">
        <v>126</v>
      </c>
      <c r="F113" s="1">
        <v>32</v>
      </c>
      <c r="G113" s="4" t="s">
        <v>11</v>
      </c>
      <c r="H113" s="5" t="s">
        <v>10</v>
      </c>
    </row>
    <row r="114" spans="1:8" x14ac:dyDescent="0.25">
      <c r="A114" s="1">
        <v>1082</v>
      </c>
      <c r="B114" s="19">
        <v>45999</v>
      </c>
      <c r="C114" s="1">
        <v>84</v>
      </c>
      <c r="D114" s="1" t="s">
        <v>208</v>
      </c>
      <c r="E114" s="1" t="s">
        <v>136</v>
      </c>
      <c r="F114" s="1">
        <v>32</v>
      </c>
      <c r="G114" s="7" t="s">
        <v>82</v>
      </c>
      <c r="H114" s="7" t="s">
        <v>83</v>
      </c>
    </row>
    <row r="115" spans="1:8" x14ac:dyDescent="0.25">
      <c r="A115" s="1">
        <v>1083</v>
      </c>
      <c r="B115" s="19">
        <v>46000</v>
      </c>
      <c r="C115" s="1">
        <v>85</v>
      </c>
      <c r="D115" s="1" t="s">
        <v>209</v>
      </c>
      <c r="E115" s="1" t="s">
        <v>126</v>
      </c>
      <c r="F115" s="1">
        <v>32</v>
      </c>
      <c r="G115" s="7" t="s">
        <v>87</v>
      </c>
      <c r="H115" s="7" t="s">
        <v>88</v>
      </c>
    </row>
    <row r="116" spans="1:8" x14ac:dyDescent="0.25">
      <c r="A116" s="1">
        <v>1084</v>
      </c>
      <c r="B116" s="19">
        <v>46001</v>
      </c>
      <c r="C116" s="1">
        <v>86</v>
      </c>
      <c r="D116" s="1" t="s">
        <v>210</v>
      </c>
      <c r="E116" s="1" t="s">
        <v>126</v>
      </c>
      <c r="F116" s="1">
        <v>32</v>
      </c>
      <c r="G116" s="7" t="s">
        <v>73</v>
      </c>
      <c r="H116" s="7" t="s">
        <v>74</v>
      </c>
    </row>
    <row r="117" spans="1:8" x14ac:dyDescent="0.25">
      <c r="A117" s="1">
        <v>1085</v>
      </c>
      <c r="B117" s="19">
        <v>46002</v>
      </c>
      <c r="C117" s="1">
        <v>87</v>
      </c>
      <c r="D117" s="1" t="s">
        <v>211</v>
      </c>
      <c r="E117" s="1" t="s">
        <v>126</v>
      </c>
      <c r="F117" s="1">
        <v>32</v>
      </c>
      <c r="G117" s="7" t="s">
        <v>49</v>
      </c>
      <c r="H117" s="7" t="s">
        <v>50</v>
      </c>
    </row>
    <row r="118" spans="1:8" x14ac:dyDescent="0.25">
      <c r="A118" s="1">
        <v>1086</v>
      </c>
      <c r="B118" s="19">
        <v>46003</v>
      </c>
      <c r="C118" s="1">
        <v>88</v>
      </c>
      <c r="D118" s="1" t="s">
        <v>212</v>
      </c>
      <c r="E118" s="1" t="s">
        <v>126</v>
      </c>
      <c r="F118" s="1">
        <v>32</v>
      </c>
      <c r="G118" s="7" t="s">
        <v>93</v>
      </c>
      <c r="H118" s="7" t="s">
        <v>94</v>
      </c>
    </row>
    <row r="119" spans="1:8" x14ac:dyDescent="0.25">
      <c r="A119" s="1">
        <v>1087</v>
      </c>
      <c r="B119" s="19">
        <v>46004</v>
      </c>
      <c r="C119" s="1">
        <v>89</v>
      </c>
      <c r="D119" s="1" t="s">
        <v>166</v>
      </c>
      <c r="E119" s="1" t="s">
        <v>136</v>
      </c>
      <c r="F119" s="1">
        <v>32</v>
      </c>
      <c r="G119" s="7" t="s">
        <v>99</v>
      </c>
      <c r="H119" s="7" t="s">
        <v>100</v>
      </c>
    </row>
    <row r="120" spans="1:8" x14ac:dyDescent="0.25">
      <c r="A120" s="1">
        <v>1130</v>
      </c>
      <c r="B120" s="19">
        <v>46047</v>
      </c>
      <c r="C120" s="1">
        <v>33</v>
      </c>
      <c r="D120" s="1" t="s">
        <v>177</v>
      </c>
      <c r="E120" s="1" t="s">
        <v>136</v>
      </c>
      <c r="F120" s="1">
        <v>32</v>
      </c>
      <c r="G120" s="1" t="s">
        <v>631</v>
      </c>
      <c r="H120" s="1" t="s">
        <v>632</v>
      </c>
    </row>
    <row r="121" spans="1:8" x14ac:dyDescent="0.25">
      <c r="A121" s="1">
        <v>1132</v>
      </c>
      <c r="B121" s="19">
        <v>46049</v>
      </c>
      <c r="C121" s="1">
        <v>35</v>
      </c>
      <c r="D121" s="1" t="s">
        <v>178</v>
      </c>
      <c r="E121" s="1" t="s">
        <v>126</v>
      </c>
      <c r="F121" s="1">
        <v>32</v>
      </c>
      <c r="G121" s="1" t="s">
        <v>641</v>
      </c>
      <c r="H121" s="1" t="s">
        <v>642</v>
      </c>
    </row>
    <row r="122" spans="1:8" x14ac:dyDescent="0.25">
      <c r="A122" s="1">
        <v>1146</v>
      </c>
      <c r="B122" s="19">
        <v>46063</v>
      </c>
      <c r="C122" s="1">
        <v>49</v>
      </c>
      <c r="D122" s="1" t="s">
        <v>187</v>
      </c>
      <c r="E122" s="1" t="s">
        <v>126</v>
      </c>
      <c r="F122" s="1">
        <v>32</v>
      </c>
      <c r="G122" s="4" t="s">
        <v>37</v>
      </c>
      <c r="H122" s="5" t="s">
        <v>38</v>
      </c>
    </row>
    <row r="123" spans="1:8" x14ac:dyDescent="0.25">
      <c r="A123" s="1">
        <v>1150</v>
      </c>
      <c r="B123" s="19">
        <v>46067</v>
      </c>
      <c r="C123" s="1">
        <v>53</v>
      </c>
      <c r="D123" s="1" t="s">
        <v>190</v>
      </c>
      <c r="E123" s="1" t="s">
        <v>126</v>
      </c>
      <c r="F123" s="1">
        <v>32</v>
      </c>
      <c r="G123" s="4" t="s">
        <v>15</v>
      </c>
      <c r="H123" s="5" t="s">
        <v>16</v>
      </c>
    </row>
    <row r="124" spans="1:8" x14ac:dyDescent="0.25">
      <c r="A124" s="1">
        <v>1165</v>
      </c>
      <c r="B124" s="19">
        <v>46082</v>
      </c>
      <c r="C124" s="1">
        <v>68</v>
      </c>
      <c r="D124" s="1" t="s">
        <v>202</v>
      </c>
      <c r="E124" s="1" t="s">
        <v>138</v>
      </c>
      <c r="F124" s="1">
        <v>32</v>
      </c>
      <c r="G124" s="1" t="s">
        <v>455</v>
      </c>
      <c r="H124" s="1" t="s">
        <v>456</v>
      </c>
    </row>
    <row r="125" spans="1:8" x14ac:dyDescent="0.25">
      <c r="A125" s="1">
        <v>1176</v>
      </c>
      <c r="B125" s="19">
        <v>46093</v>
      </c>
      <c r="C125" s="1">
        <v>79</v>
      </c>
      <c r="D125" s="1" t="s">
        <v>207</v>
      </c>
      <c r="E125" s="1" t="s">
        <v>138</v>
      </c>
      <c r="F125" s="1">
        <v>32</v>
      </c>
      <c r="G125" s="1" t="s">
        <v>511</v>
      </c>
      <c r="H125" s="1" t="s">
        <v>512</v>
      </c>
    </row>
    <row r="126" spans="1:8" x14ac:dyDescent="0.25">
      <c r="A126" s="1">
        <v>1197</v>
      </c>
      <c r="B126" s="19">
        <v>46114</v>
      </c>
      <c r="C126" s="1">
        <v>100</v>
      </c>
      <c r="D126" s="1" t="s">
        <v>214</v>
      </c>
      <c r="E126" s="1" t="s">
        <v>136</v>
      </c>
      <c r="F126" s="1">
        <v>32</v>
      </c>
      <c r="G126" s="1" t="s">
        <v>616</v>
      </c>
      <c r="H126" s="1" t="s">
        <v>617</v>
      </c>
    </row>
    <row r="127" spans="1:8" x14ac:dyDescent="0.25">
      <c r="A127" s="1">
        <v>1172</v>
      </c>
      <c r="B127" s="19">
        <v>46089</v>
      </c>
      <c r="C127" s="1">
        <v>75</v>
      </c>
      <c r="D127" s="1" t="s">
        <v>169</v>
      </c>
      <c r="E127" s="1" t="s">
        <v>136</v>
      </c>
      <c r="F127" s="1">
        <v>24</v>
      </c>
      <c r="G127" s="1" t="s">
        <v>491</v>
      </c>
      <c r="H127" s="1" t="s">
        <v>492</v>
      </c>
    </row>
    <row r="128" spans="1:8" x14ac:dyDescent="0.25">
      <c r="A128" s="1">
        <v>1000</v>
      </c>
      <c r="B128" s="19">
        <v>45917</v>
      </c>
      <c r="C128" s="1">
        <v>2</v>
      </c>
      <c r="D128" s="1" t="s">
        <v>142</v>
      </c>
      <c r="E128" s="1" t="s">
        <v>138</v>
      </c>
      <c r="F128" s="1">
        <v>23</v>
      </c>
      <c r="G128" s="4" t="s">
        <v>73</v>
      </c>
      <c r="H128" s="5" t="s">
        <v>74</v>
      </c>
    </row>
    <row r="129" spans="1:8" x14ac:dyDescent="0.25">
      <c r="A129" s="1">
        <v>1023</v>
      </c>
      <c r="B129" s="19">
        <v>45940</v>
      </c>
      <c r="C129" s="1">
        <v>25</v>
      </c>
      <c r="D129" s="1" t="s">
        <v>154</v>
      </c>
      <c r="E129" s="1" t="s">
        <v>126</v>
      </c>
      <c r="F129" s="1">
        <v>23</v>
      </c>
      <c r="G129" s="1" t="s">
        <v>443</v>
      </c>
      <c r="H129" s="1" t="s">
        <v>444</v>
      </c>
    </row>
    <row r="130" spans="1:8" x14ac:dyDescent="0.25">
      <c r="A130" s="1">
        <v>1028</v>
      </c>
      <c r="B130" s="19">
        <v>45945</v>
      </c>
      <c r="C130" s="1">
        <v>30</v>
      </c>
      <c r="D130" s="1" t="s">
        <v>175</v>
      </c>
      <c r="E130" s="1" t="s">
        <v>126</v>
      </c>
      <c r="F130" s="1">
        <v>23</v>
      </c>
      <c r="G130" s="1" t="s">
        <v>470</v>
      </c>
      <c r="H130" s="1" t="s">
        <v>471</v>
      </c>
    </row>
    <row r="131" spans="1:8" x14ac:dyDescent="0.25">
      <c r="A131" s="1">
        <v>1030</v>
      </c>
      <c r="B131" s="19">
        <v>45947</v>
      </c>
      <c r="C131" s="1">
        <v>32</v>
      </c>
      <c r="D131" s="1" t="s">
        <v>146</v>
      </c>
      <c r="E131" s="1" t="s">
        <v>138</v>
      </c>
      <c r="F131" s="1">
        <v>23</v>
      </c>
      <c r="G131" s="1" t="s">
        <v>480</v>
      </c>
      <c r="H131" s="1" t="s">
        <v>481</v>
      </c>
    </row>
    <row r="132" spans="1:8" x14ac:dyDescent="0.25">
      <c r="A132" s="1">
        <v>1031</v>
      </c>
      <c r="B132" s="19">
        <v>45948</v>
      </c>
      <c r="C132" s="1">
        <v>33</v>
      </c>
      <c r="D132" s="1" t="s">
        <v>177</v>
      </c>
      <c r="E132" s="1" t="s">
        <v>136</v>
      </c>
      <c r="F132" s="1">
        <v>23</v>
      </c>
      <c r="G132" s="1" t="s">
        <v>486</v>
      </c>
      <c r="H132" s="1" t="s">
        <v>487</v>
      </c>
    </row>
    <row r="133" spans="1:8" x14ac:dyDescent="0.25">
      <c r="A133" s="1">
        <v>1034</v>
      </c>
      <c r="B133" s="19">
        <v>45951</v>
      </c>
      <c r="C133" s="1">
        <v>36</v>
      </c>
      <c r="D133" s="1" t="s">
        <v>179</v>
      </c>
      <c r="E133" s="1" t="s">
        <v>126</v>
      </c>
      <c r="F133" s="1">
        <v>23</v>
      </c>
      <c r="G133" s="1" t="s">
        <v>501</v>
      </c>
      <c r="H133" s="1" t="s">
        <v>502</v>
      </c>
    </row>
    <row r="134" spans="1:8" x14ac:dyDescent="0.25">
      <c r="A134" s="1">
        <v>1035</v>
      </c>
      <c r="B134" s="19">
        <v>45952</v>
      </c>
      <c r="C134" s="1">
        <v>37</v>
      </c>
      <c r="D134" s="1" t="s">
        <v>166</v>
      </c>
      <c r="E134" s="1" t="s">
        <v>136</v>
      </c>
      <c r="F134" s="1">
        <v>23</v>
      </c>
      <c r="G134" s="1" t="s">
        <v>506</v>
      </c>
      <c r="H134" s="1" t="s">
        <v>507</v>
      </c>
    </row>
    <row r="135" spans="1:8" x14ac:dyDescent="0.25">
      <c r="A135" s="1">
        <v>1042</v>
      </c>
      <c r="B135" s="19">
        <v>45959</v>
      </c>
      <c r="C135" s="1">
        <v>44</v>
      </c>
      <c r="D135" s="1" t="s">
        <v>178</v>
      </c>
      <c r="E135" s="1" t="s">
        <v>126</v>
      </c>
      <c r="F135" s="1">
        <v>23</v>
      </c>
      <c r="G135" s="1" t="s">
        <v>539</v>
      </c>
      <c r="H135" s="1" t="s">
        <v>540</v>
      </c>
    </row>
    <row r="136" spans="1:8" x14ac:dyDescent="0.25">
      <c r="A136" s="1">
        <v>1128</v>
      </c>
      <c r="B136" s="19">
        <v>46045</v>
      </c>
      <c r="C136" s="1">
        <v>31</v>
      </c>
      <c r="D136" s="1" t="s">
        <v>176</v>
      </c>
      <c r="E136" s="1" t="s">
        <v>126</v>
      </c>
      <c r="F136" s="1">
        <v>23</v>
      </c>
      <c r="G136" s="1" t="s">
        <v>621</v>
      </c>
      <c r="H136" s="1" t="s">
        <v>622</v>
      </c>
    </row>
    <row r="137" spans="1:8" x14ac:dyDescent="0.25">
      <c r="A137" s="1">
        <v>1129</v>
      </c>
      <c r="B137" s="19">
        <v>46046</v>
      </c>
      <c r="C137" s="1">
        <v>32</v>
      </c>
      <c r="D137" s="1" t="s">
        <v>146</v>
      </c>
      <c r="E137" s="1" t="s">
        <v>138</v>
      </c>
      <c r="F137" s="1">
        <v>23</v>
      </c>
      <c r="G137" s="1" t="s">
        <v>626</v>
      </c>
      <c r="H137" s="1" t="s">
        <v>627</v>
      </c>
    </row>
    <row r="138" spans="1:8" x14ac:dyDescent="0.25">
      <c r="A138" s="1">
        <v>1149</v>
      </c>
      <c r="B138" s="19">
        <v>46066</v>
      </c>
      <c r="C138" s="1">
        <v>52</v>
      </c>
      <c r="D138" s="1" t="s">
        <v>170</v>
      </c>
      <c r="E138" s="1" t="s">
        <v>126</v>
      </c>
      <c r="F138" s="1">
        <v>23</v>
      </c>
      <c r="G138" s="4" t="s">
        <v>20</v>
      </c>
      <c r="H138" s="5" t="s">
        <v>21</v>
      </c>
    </row>
    <row r="139" spans="1:8" x14ac:dyDescent="0.25">
      <c r="A139" s="1">
        <v>1152</v>
      </c>
      <c r="B139" s="19">
        <v>46069</v>
      </c>
      <c r="C139" s="1">
        <v>55</v>
      </c>
      <c r="D139" s="1" t="s">
        <v>192</v>
      </c>
      <c r="E139" s="1" t="s">
        <v>126</v>
      </c>
      <c r="F139" s="1">
        <v>23</v>
      </c>
      <c r="G139" s="7" t="s">
        <v>82</v>
      </c>
      <c r="H139" s="7" t="s">
        <v>83</v>
      </c>
    </row>
    <row r="140" spans="1:8" x14ac:dyDescent="0.25">
      <c r="A140" s="1">
        <v>1157</v>
      </c>
      <c r="B140" s="19">
        <v>46074</v>
      </c>
      <c r="C140" s="1">
        <v>60</v>
      </c>
      <c r="D140" s="1" t="s">
        <v>196</v>
      </c>
      <c r="E140" s="1" t="s">
        <v>138</v>
      </c>
      <c r="F140" s="1">
        <v>23</v>
      </c>
      <c r="G140" s="7" t="s">
        <v>99</v>
      </c>
      <c r="H140" s="7" t="s">
        <v>100</v>
      </c>
    </row>
    <row r="141" spans="1:8" x14ac:dyDescent="0.25">
      <c r="A141" s="1">
        <v>1158</v>
      </c>
      <c r="B141" s="19">
        <v>46075</v>
      </c>
      <c r="C141" s="1">
        <v>61</v>
      </c>
      <c r="D141" s="1" t="s">
        <v>193</v>
      </c>
      <c r="E141" s="1" t="s">
        <v>126</v>
      </c>
      <c r="F141" s="1">
        <v>23</v>
      </c>
      <c r="G141" s="7" t="s">
        <v>43</v>
      </c>
      <c r="H141" s="7" t="s">
        <v>44</v>
      </c>
    </row>
    <row r="142" spans="1:8" x14ac:dyDescent="0.25">
      <c r="A142" s="1">
        <v>1171</v>
      </c>
      <c r="B142" s="19">
        <v>46088</v>
      </c>
      <c r="C142" s="1">
        <v>74</v>
      </c>
      <c r="D142" s="1" t="s">
        <v>133</v>
      </c>
      <c r="E142" s="1" t="s">
        <v>126</v>
      </c>
      <c r="F142" s="1">
        <v>23</v>
      </c>
      <c r="G142" s="1" t="s">
        <v>486</v>
      </c>
      <c r="H142" s="1" t="s">
        <v>487</v>
      </c>
    </row>
    <row r="143" spans="1:8" x14ac:dyDescent="0.25">
      <c r="A143" s="1">
        <v>1180</v>
      </c>
      <c r="B143" s="19">
        <v>46097</v>
      </c>
      <c r="C143" s="1">
        <v>83</v>
      </c>
      <c r="D143" s="1" t="s">
        <v>180</v>
      </c>
      <c r="E143" s="1" t="s">
        <v>126</v>
      </c>
      <c r="F143" s="1">
        <v>23</v>
      </c>
      <c r="G143" s="1" t="s">
        <v>529</v>
      </c>
      <c r="H143" s="1" t="s">
        <v>530</v>
      </c>
    </row>
    <row r="144" spans="1:8" x14ac:dyDescent="0.25">
      <c r="A144" s="1">
        <v>1189</v>
      </c>
      <c r="B144" s="19">
        <v>46106</v>
      </c>
      <c r="C144" s="1">
        <v>92</v>
      </c>
      <c r="D144" s="1" t="s">
        <v>201</v>
      </c>
      <c r="E144" s="1" t="s">
        <v>126</v>
      </c>
      <c r="F144" s="1">
        <v>23</v>
      </c>
      <c r="G144" s="1" t="s">
        <v>577</v>
      </c>
      <c r="H144" s="1" t="s">
        <v>578</v>
      </c>
    </row>
    <row r="145" spans="1:8" x14ac:dyDescent="0.25">
      <c r="A145" s="1">
        <v>1195</v>
      </c>
      <c r="B145" s="19">
        <v>46112</v>
      </c>
      <c r="C145" s="1">
        <v>98</v>
      </c>
      <c r="D145" s="1" t="s">
        <v>176</v>
      </c>
      <c r="E145" s="1" t="s">
        <v>126</v>
      </c>
      <c r="F145" s="1">
        <v>23</v>
      </c>
      <c r="G145" s="1" t="s">
        <v>606</v>
      </c>
      <c r="H145" s="1" t="s">
        <v>607</v>
      </c>
    </row>
    <row r="146" spans="1:8" x14ac:dyDescent="0.25">
      <c r="A146" s="1">
        <v>1198</v>
      </c>
      <c r="B146" s="19">
        <v>46115</v>
      </c>
      <c r="C146" s="1">
        <v>99</v>
      </c>
      <c r="D146" s="1" t="s">
        <v>148</v>
      </c>
      <c r="E146" s="1" t="s">
        <v>126</v>
      </c>
      <c r="F146" s="1">
        <v>23</v>
      </c>
      <c r="G146" s="1" t="s">
        <v>621</v>
      </c>
      <c r="H146" s="1" t="s">
        <v>622</v>
      </c>
    </row>
    <row r="147" spans="1:8" x14ac:dyDescent="0.25">
      <c r="A147" s="1">
        <v>1029</v>
      </c>
      <c r="B147" s="19">
        <v>45946</v>
      </c>
      <c r="C147" s="1">
        <v>31</v>
      </c>
      <c r="D147" s="1" t="s">
        <v>176</v>
      </c>
      <c r="E147" s="1" t="s">
        <v>126</v>
      </c>
      <c r="F147" s="1">
        <v>22</v>
      </c>
      <c r="G147" s="1" t="s">
        <v>475</v>
      </c>
      <c r="H147" s="1" t="s">
        <v>476</v>
      </c>
    </row>
    <row r="148" spans="1:8" x14ac:dyDescent="0.25">
      <c r="A148" s="1">
        <v>1062</v>
      </c>
      <c r="B148" s="19">
        <v>45979</v>
      </c>
      <c r="C148" s="1">
        <v>64</v>
      </c>
      <c r="D148" s="1" t="s">
        <v>199</v>
      </c>
      <c r="E148" s="1" t="s">
        <v>126</v>
      </c>
      <c r="F148" s="1">
        <v>22</v>
      </c>
      <c r="G148" s="1" t="s">
        <v>641</v>
      </c>
      <c r="H148" s="1" t="s">
        <v>642</v>
      </c>
    </row>
    <row r="149" spans="1:8" x14ac:dyDescent="0.25">
      <c r="A149" s="1">
        <v>1065</v>
      </c>
      <c r="B149" s="19">
        <v>45982</v>
      </c>
      <c r="C149" s="1">
        <v>67</v>
      </c>
      <c r="D149" s="1" t="s">
        <v>195</v>
      </c>
      <c r="E149" s="1" t="s">
        <v>126</v>
      </c>
      <c r="F149" s="1">
        <v>22</v>
      </c>
      <c r="G149" s="1" t="s">
        <v>656</v>
      </c>
      <c r="H149" s="1" t="s">
        <v>657</v>
      </c>
    </row>
    <row r="150" spans="1:8" x14ac:dyDescent="0.25">
      <c r="A150" s="1">
        <v>1072</v>
      </c>
      <c r="B150" s="19">
        <v>45989</v>
      </c>
      <c r="C150" s="1">
        <v>74</v>
      </c>
      <c r="D150" s="1" t="s">
        <v>133</v>
      </c>
      <c r="E150" s="1" t="s">
        <v>126</v>
      </c>
      <c r="F150" s="1">
        <v>22</v>
      </c>
      <c r="G150" s="4" t="s">
        <v>61</v>
      </c>
      <c r="H150" s="5" t="s">
        <v>62</v>
      </c>
    </row>
    <row r="151" spans="1:8" x14ac:dyDescent="0.25">
      <c r="A151" s="1">
        <v>1073</v>
      </c>
      <c r="B151" s="19">
        <v>45990</v>
      </c>
      <c r="C151" s="1">
        <v>75</v>
      </c>
      <c r="D151" s="1" t="s">
        <v>169</v>
      </c>
      <c r="E151" s="1" t="s">
        <v>136</v>
      </c>
      <c r="F151" s="1">
        <v>22</v>
      </c>
      <c r="G151" s="4" t="s">
        <v>55</v>
      </c>
      <c r="H151" s="5" t="s">
        <v>56</v>
      </c>
    </row>
    <row r="152" spans="1:8" x14ac:dyDescent="0.25">
      <c r="A152" s="1">
        <v>1074</v>
      </c>
      <c r="B152" s="19">
        <v>45991</v>
      </c>
      <c r="C152" s="1">
        <v>76</v>
      </c>
      <c r="D152" s="1" t="s">
        <v>176</v>
      </c>
      <c r="E152" s="1" t="s">
        <v>126</v>
      </c>
      <c r="F152" s="1">
        <v>22</v>
      </c>
      <c r="G152" s="4" t="s">
        <v>49</v>
      </c>
      <c r="H152" s="5" t="s">
        <v>50</v>
      </c>
    </row>
    <row r="153" spans="1:8" x14ac:dyDescent="0.25">
      <c r="A153" s="1">
        <v>1088</v>
      </c>
      <c r="B153" s="19">
        <v>46005</v>
      </c>
      <c r="C153" s="1">
        <v>90</v>
      </c>
      <c r="D153" s="1" t="s">
        <v>182</v>
      </c>
      <c r="E153" s="1" t="s">
        <v>126</v>
      </c>
      <c r="F153" s="1">
        <v>22</v>
      </c>
      <c r="G153" s="7" t="s">
        <v>43</v>
      </c>
      <c r="H153" s="7" t="s">
        <v>44</v>
      </c>
    </row>
    <row r="154" spans="1:8" x14ac:dyDescent="0.25">
      <c r="A154" s="1">
        <v>1089</v>
      </c>
      <c r="B154" s="19">
        <v>46006</v>
      </c>
      <c r="C154" s="1">
        <v>91</v>
      </c>
      <c r="D154" s="1" t="s">
        <v>178</v>
      </c>
      <c r="E154" s="1" t="s">
        <v>126</v>
      </c>
      <c r="F154" s="1">
        <v>22</v>
      </c>
      <c r="G154" s="7" t="s">
        <v>105</v>
      </c>
      <c r="H154" s="7" t="s">
        <v>106</v>
      </c>
    </row>
    <row r="155" spans="1:8" x14ac:dyDescent="0.25">
      <c r="A155" s="1">
        <v>1090</v>
      </c>
      <c r="B155" s="19">
        <v>46007</v>
      </c>
      <c r="C155" s="1">
        <v>92</v>
      </c>
      <c r="D155" s="1" t="s">
        <v>201</v>
      </c>
      <c r="E155" s="1" t="s">
        <v>126</v>
      </c>
      <c r="F155" s="1">
        <v>22</v>
      </c>
      <c r="G155" s="1" t="s">
        <v>425</v>
      </c>
      <c r="H155" s="1" t="s">
        <v>426</v>
      </c>
    </row>
    <row r="156" spans="1:8" x14ac:dyDescent="0.25">
      <c r="A156" s="1">
        <v>1091</v>
      </c>
      <c r="B156" s="19">
        <v>46008</v>
      </c>
      <c r="C156" s="1">
        <v>93</v>
      </c>
      <c r="D156" s="1" t="s">
        <v>168</v>
      </c>
      <c r="E156" s="1" t="s">
        <v>126</v>
      </c>
      <c r="F156" s="1">
        <v>22</v>
      </c>
      <c r="G156" s="1" t="s">
        <v>431</v>
      </c>
      <c r="H156" s="1" t="s">
        <v>432</v>
      </c>
    </row>
    <row r="157" spans="1:8" x14ac:dyDescent="0.25">
      <c r="A157" s="1">
        <v>1092</v>
      </c>
      <c r="B157" s="19">
        <v>46009</v>
      </c>
      <c r="C157" s="1">
        <v>94</v>
      </c>
      <c r="D157" s="1" t="s">
        <v>186</v>
      </c>
      <c r="E157" s="1" t="s">
        <v>136</v>
      </c>
      <c r="F157" s="1">
        <v>22</v>
      </c>
      <c r="G157" s="1" t="s">
        <v>437</v>
      </c>
      <c r="H157" s="1" t="s">
        <v>438</v>
      </c>
    </row>
    <row r="158" spans="1:8" x14ac:dyDescent="0.25">
      <c r="A158" s="1">
        <v>1093</v>
      </c>
      <c r="B158" s="19">
        <v>46010</v>
      </c>
      <c r="C158" s="1">
        <v>95</v>
      </c>
      <c r="D158" s="1" t="s">
        <v>213</v>
      </c>
      <c r="E158" s="1" t="s">
        <v>126</v>
      </c>
      <c r="F158" s="1">
        <v>22</v>
      </c>
      <c r="G158" s="1" t="s">
        <v>443</v>
      </c>
      <c r="H158" s="1" t="s">
        <v>444</v>
      </c>
    </row>
    <row r="159" spans="1:8" x14ac:dyDescent="0.25">
      <c r="A159" s="1">
        <v>1094</v>
      </c>
      <c r="B159" s="19">
        <v>46011</v>
      </c>
      <c r="C159" s="1">
        <v>96</v>
      </c>
      <c r="D159" s="1" t="s">
        <v>205</v>
      </c>
      <c r="E159" s="1" t="s">
        <v>136</v>
      </c>
      <c r="F159" s="1">
        <v>22</v>
      </c>
      <c r="G159" s="1" t="s">
        <v>449</v>
      </c>
      <c r="H159" s="1" t="s">
        <v>450</v>
      </c>
    </row>
    <row r="160" spans="1:8" x14ac:dyDescent="0.25">
      <c r="A160" s="1">
        <v>1095</v>
      </c>
      <c r="B160" s="19">
        <v>46012</v>
      </c>
      <c r="C160" s="1">
        <v>97</v>
      </c>
      <c r="D160" s="1" t="s">
        <v>158</v>
      </c>
      <c r="E160" s="1" t="s">
        <v>138</v>
      </c>
      <c r="F160" s="1">
        <v>22</v>
      </c>
      <c r="G160" s="1" t="s">
        <v>455</v>
      </c>
      <c r="H160" s="1" t="s">
        <v>456</v>
      </c>
    </row>
    <row r="161" spans="1:8" x14ac:dyDescent="0.25">
      <c r="A161" s="1">
        <v>1096</v>
      </c>
      <c r="B161" s="19">
        <v>46013</v>
      </c>
      <c r="C161" s="1">
        <v>98</v>
      </c>
      <c r="D161" s="1" t="s">
        <v>176</v>
      </c>
      <c r="E161" s="1" t="s">
        <v>126</v>
      </c>
      <c r="F161" s="1">
        <v>22</v>
      </c>
      <c r="G161" s="1" t="s">
        <v>460</v>
      </c>
      <c r="H161" s="1" t="s">
        <v>461</v>
      </c>
    </row>
    <row r="162" spans="1:8" x14ac:dyDescent="0.25">
      <c r="A162" s="1">
        <v>1097</v>
      </c>
      <c r="B162" s="19">
        <v>46014</v>
      </c>
      <c r="C162" s="1">
        <v>99</v>
      </c>
      <c r="D162" s="1" t="s">
        <v>148</v>
      </c>
      <c r="E162" s="1" t="s">
        <v>126</v>
      </c>
      <c r="F162" s="1">
        <v>22</v>
      </c>
      <c r="G162" s="1" t="s">
        <v>465</v>
      </c>
      <c r="H162" s="1" t="s">
        <v>466</v>
      </c>
    </row>
    <row r="163" spans="1:8" x14ac:dyDescent="0.25">
      <c r="A163" s="1">
        <v>1098</v>
      </c>
      <c r="B163" s="19">
        <v>46015</v>
      </c>
      <c r="C163" s="1">
        <v>100</v>
      </c>
      <c r="D163" s="1" t="s">
        <v>214</v>
      </c>
      <c r="E163" s="1" t="s">
        <v>136</v>
      </c>
      <c r="F163" s="1">
        <v>22</v>
      </c>
      <c r="G163" s="1" t="s">
        <v>470</v>
      </c>
      <c r="H163" s="1" t="s">
        <v>471</v>
      </c>
    </row>
    <row r="164" spans="1:8" x14ac:dyDescent="0.25">
      <c r="A164" s="1">
        <v>1099</v>
      </c>
      <c r="B164" s="19">
        <v>46016</v>
      </c>
      <c r="C164" s="1">
        <v>2</v>
      </c>
      <c r="D164" s="1" t="s">
        <v>142</v>
      </c>
      <c r="E164" s="1" t="s">
        <v>138</v>
      </c>
      <c r="F164" s="1">
        <v>22</v>
      </c>
      <c r="G164" s="1" t="s">
        <v>475</v>
      </c>
      <c r="H164" s="1" t="s">
        <v>476</v>
      </c>
    </row>
    <row r="165" spans="1:8" x14ac:dyDescent="0.25">
      <c r="A165" s="1">
        <v>1100</v>
      </c>
      <c r="B165" s="19">
        <v>46017</v>
      </c>
      <c r="C165" s="1">
        <v>3</v>
      </c>
      <c r="D165" s="1" t="s">
        <v>146</v>
      </c>
      <c r="E165" s="1" t="s">
        <v>138</v>
      </c>
      <c r="F165" s="1">
        <v>22</v>
      </c>
      <c r="G165" s="1" t="s">
        <v>480</v>
      </c>
      <c r="H165" s="1" t="s">
        <v>481</v>
      </c>
    </row>
    <row r="166" spans="1:8" x14ac:dyDescent="0.25">
      <c r="A166" s="1">
        <v>1101</v>
      </c>
      <c r="B166" s="19">
        <v>46018</v>
      </c>
      <c r="C166" s="1">
        <v>4</v>
      </c>
      <c r="D166" s="1" t="s">
        <v>148</v>
      </c>
      <c r="E166" s="1" t="s">
        <v>126</v>
      </c>
      <c r="F166" s="1">
        <v>22</v>
      </c>
      <c r="G166" s="1" t="s">
        <v>486</v>
      </c>
      <c r="H166" s="1" t="s">
        <v>487</v>
      </c>
    </row>
    <row r="167" spans="1:8" x14ac:dyDescent="0.25">
      <c r="A167" s="1">
        <v>1111</v>
      </c>
      <c r="B167" s="19">
        <v>46028</v>
      </c>
      <c r="C167" s="1">
        <v>14</v>
      </c>
      <c r="D167" s="1" t="s">
        <v>161</v>
      </c>
      <c r="E167" s="1" t="s">
        <v>126</v>
      </c>
      <c r="F167" s="1">
        <v>22</v>
      </c>
      <c r="G167" s="1" t="s">
        <v>534</v>
      </c>
      <c r="H167" s="1" t="s">
        <v>535</v>
      </c>
    </row>
    <row r="168" spans="1:8" x14ac:dyDescent="0.25">
      <c r="A168" s="1">
        <v>1112</v>
      </c>
      <c r="B168" s="19">
        <v>46029</v>
      </c>
      <c r="C168" s="1">
        <v>15</v>
      </c>
      <c r="D168" s="1" t="s">
        <v>162</v>
      </c>
      <c r="E168" s="1" t="s">
        <v>126</v>
      </c>
      <c r="F168" s="1">
        <v>22</v>
      </c>
      <c r="G168" s="1" t="s">
        <v>539</v>
      </c>
      <c r="H168" s="1" t="s">
        <v>540</v>
      </c>
    </row>
    <row r="169" spans="1:8" x14ac:dyDescent="0.25">
      <c r="A169" s="1">
        <v>1113</v>
      </c>
      <c r="B169" s="19">
        <v>46030</v>
      </c>
      <c r="C169" s="1">
        <v>16</v>
      </c>
      <c r="D169" s="1" t="s">
        <v>162</v>
      </c>
      <c r="E169" s="1" t="s">
        <v>126</v>
      </c>
      <c r="F169" s="1">
        <v>22</v>
      </c>
      <c r="G169" s="1" t="s">
        <v>545</v>
      </c>
      <c r="H169" s="1" t="s">
        <v>546</v>
      </c>
    </row>
    <row r="170" spans="1:8" x14ac:dyDescent="0.25">
      <c r="A170" s="1">
        <v>1114</v>
      </c>
      <c r="B170" s="19">
        <v>46031</v>
      </c>
      <c r="C170" s="1">
        <v>17</v>
      </c>
      <c r="D170" s="1" t="s">
        <v>164</v>
      </c>
      <c r="E170" s="1" t="s">
        <v>138</v>
      </c>
      <c r="F170" s="1">
        <v>22</v>
      </c>
      <c r="G170" s="1" t="s">
        <v>551</v>
      </c>
      <c r="H170" s="1" t="s">
        <v>552</v>
      </c>
    </row>
    <row r="171" spans="1:8" x14ac:dyDescent="0.25">
      <c r="A171" s="1">
        <v>1115</v>
      </c>
      <c r="B171" s="19">
        <v>46032</v>
      </c>
      <c r="C171" s="1">
        <v>18</v>
      </c>
      <c r="D171" s="1" t="s">
        <v>165</v>
      </c>
      <c r="E171" s="1" t="s">
        <v>126</v>
      </c>
      <c r="F171" s="1">
        <v>22</v>
      </c>
      <c r="G171" s="1" t="s">
        <v>556</v>
      </c>
      <c r="H171" s="1" t="s">
        <v>557</v>
      </c>
    </row>
    <row r="172" spans="1:8" x14ac:dyDescent="0.25">
      <c r="A172" s="1">
        <v>1116</v>
      </c>
      <c r="B172" s="19">
        <v>46033</v>
      </c>
      <c r="C172" s="1">
        <v>19</v>
      </c>
      <c r="D172" s="1" t="s">
        <v>166</v>
      </c>
      <c r="E172" s="1" t="s">
        <v>136</v>
      </c>
      <c r="F172" s="1">
        <v>22</v>
      </c>
      <c r="G172" s="1" t="s">
        <v>561</v>
      </c>
      <c r="H172" s="1" t="s">
        <v>562</v>
      </c>
    </row>
    <row r="173" spans="1:8" x14ac:dyDescent="0.25">
      <c r="A173" s="1">
        <v>1117</v>
      </c>
      <c r="B173" s="19">
        <v>46034</v>
      </c>
      <c r="C173" s="1">
        <v>20</v>
      </c>
      <c r="D173" s="1" t="s">
        <v>167</v>
      </c>
      <c r="E173" s="1" t="s">
        <v>126</v>
      </c>
      <c r="F173" s="1">
        <v>22</v>
      </c>
      <c r="G173" s="1" t="s">
        <v>566</v>
      </c>
      <c r="H173" s="1" t="s">
        <v>567</v>
      </c>
    </row>
    <row r="174" spans="1:8" x14ac:dyDescent="0.25">
      <c r="A174" s="1">
        <v>1118</v>
      </c>
      <c r="B174" s="19">
        <v>46035</v>
      </c>
      <c r="C174" s="1">
        <v>21</v>
      </c>
      <c r="D174" s="1" t="s">
        <v>168</v>
      </c>
      <c r="E174" s="1" t="s">
        <v>126</v>
      </c>
      <c r="F174" s="1">
        <v>22</v>
      </c>
      <c r="G174" s="1" t="s">
        <v>572</v>
      </c>
      <c r="H174" s="1" t="s">
        <v>573</v>
      </c>
    </row>
    <row r="175" spans="1:8" x14ac:dyDescent="0.25">
      <c r="A175" s="1">
        <v>1119</v>
      </c>
      <c r="B175" s="19">
        <v>46036</v>
      </c>
      <c r="C175" s="1">
        <v>22</v>
      </c>
      <c r="D175" s="1" t="s">
        <v>169</v>
      </c>
      <c r="E175" s="1" t="s">
        <v>136</v>
      </c>
      <c r="F175" s="1">
        <v>22</v>
      </c>
      <c r="G175" s="1" t="s">
        <v>577</v>
      </c>
      <c r="H175" s="1" t="s">
        <v>578</v>
      </c>
    </row>
    <row r="176" spans="1:8" x14ac:dyDescent="0.25">
      <c r="A176" s="1">
        <v>1182</v>
      </c>
      <c r="B176" s="19">
        <v>46099</v>
      </c>
      <c r="C176" s="1">
        <v>85</v>
      </c>
      <c r="D176" s="1" t="s">
        <v>209</v>
      </c>
      <c r="E176" s="1" t="s">
        <v>126</v>
      </c>
      <c r="F176" s="1">
        <v>22</v>
      </c>
      <c r="G176" s="1" t="s">
        <v>539</v>
      </c>
      <c r="H176" s="1" t="s">
        <v>540</v>
      </c>
    </row>
    <row r="177" spans="1:8" x14ac:dyDescent="0.25">
      <c r="A177" s="1">
        <v>1026</v>
      </c>
      <c r="B177" s="19">
        <v>45943</v>
      </c>
      <c r="C177" s="1">
        <v>28</v>
      </c>
      <c r="D177" s="1" t="s">
        <v>173</v>
      </c>
      <c r="E177" s="1" t="s">
        <v>126</v>
      </c>
      <c r="F177" s="1">
        <v>21</v>
      </c>
      <c r="G177" s="1" t="s">
        <v>460</v>
      </c>
      <c r="H177" s="1" t="s">
        <v>461</v>
      </c>
    </row>
    <row r="178" spans="1:8" x14ac:dyDescent="0.25">
      <c r="A178" s="1">
        <v>1179</v>
      </c>
      <c r="B178" s="19">
        <v>46096</v>
      </c>
      <c r="C178" s="1">
        <v>82</v>
      </c>
      <c r="D178" s="1" t="s">
        <v>154</v>
      </c>
      <c r="E178" s="1" t="s">
        <v>126</v>
      </c>
      <c r="F178" s="1">
        <v>21</v>
      </c>
      <c r="G178" s="1" t="s">
        <v>525</v>
      </c>
      <c r="H178" s="1" t="s">
        <v>526</v>
      </c>
    </row>
    <row r="179" spans="1:8" x14ac:dyDescent="0.25">
      <c r="A179" s="1">
        <v>1022</v>
      </c>
      <c r="B179" s="19">
        <v>45939</v>
      </c>
      <c r="C179" s="1">
        <v>24</v>
      </c>
      <c r="D179" s="1" t="s">
        <v>171</v>
      </c>
      <c r="E179" s="1" t="s">
        <v>126</v>
      </c>
      <c r="F179" s="1">
        <v>12</v>
      </c>
      <c r="G179" s="1" t="s">
        <v>437</v>
      </c>
      <c r="H179" s="1" t="s">
        <v>438</v>
      </c>
    </row>
    <row r="180" spans="1:8" x14ac:dyDescent="0.25">
      <c r="A180" s="1">
        <v>1027</v>
      </c>
      <c r="B180" s="19">
        <v>45944</v>
      </c>
      <c r="C180" s="1">
        <v>29</v>
      </c>
      <c r="D180" s="1" t="s">
        <v>174</v>
      </c>
      <c r="E180" s="1" t="s">
        <v>126</v>
      </c>
      <c r="F180" s="1">
        <v>12</v>
      </c>
      <c r="G180" s="1" t="s">
        <v>465</v>
      </c>
      <c r="H180" s="1" t="s">
        <v>466</v>
      </c>
    </row>
    <row r="181" spans="1:8" x14ac:dyDescent="0.25">
      <c r="A181" s="1">
        <v>1033</v>
      </c>
      <c r="B181" s="19">
        <v>45950</v>
      </c>
      <c r="C181" s="1">
        <v>35</v>
      </c>
      <c r="D181" s="1" t="s">
        <v>178</v>
      </c>
      <c r="E181" s="1" t="s">
        <v>126</v>
      </c>
      <c r="F181" s="1">
        <v>12</v>
      </c>
      <c r="G181" s="1" t="s">
        <v>496</v>
      </c>
      <c r="H181" s="1" t="s">
        <v>497</v>
      </c>
    </row>
    <row r="182" spans="1:8" x14ac:dyDescent="0.25">
      <c r="A182" s="1">
        <v>1036</v>
      </c>
      <c r="B182" s="19">
        <v>45953</v>
      </c>
      <c r="C182" s="1">
        <v>38</v>
      </c>
      <c r="D182" s="1" t="s">
        <v>180</v>
      </c>
      <c r="E182" s="1" t="s">
        <v>126</v>
      </c>
      <c r="F182" s="1">
        <v>12</v>
      </c>
      <c r="G182" s="1" t="s">
        <v>511</v>
      </c>
      <c r="H182" s="1" t="s">
        <v>512</v>
      </c>
    </row>
    <row r="183" spans="1:8" x14ac:dyDescent="0.25">
      <c r="A183" s="1">
        <v>1043</v>
      </c>
      <c r="B183" s="19">
        <v>45960</v>
      </c>
      <c r="C183" s="1">
        <v>45</v>
      </c>
      <c r="D183" s="1" t="s">
        <v>162</v>
      </c>
      <c r="E183" s="1" t="s">
        <v>126</v>
      </c>
      <c r="F183" s="1">
        <v>12</v>
      </c>
      <c r="G183" s="1" t="s">
        <v>545</v>
      </c>
      <c r="H183" s="1" t="s">
        <v>546</v>
      </c>
    </row>
    <row r="184" spans="1:8" x14ac:dyDescent="0.25">
      <c r="A184" s="1">
        <v>1051</v>
      </c>
      <c r="B184" s="19">
        <v>45968</v>
      </c>
      <c r="C184" s="1">
        <v>53</v>
      </c>
      <c r="D184" s="1" t="s">
        <v>190</v>
      </c>
      <c r="E184" s="1" t="s">
        <v>126</v>
      </c>
      <c r="F184" s="1">
        <v>12</v>
      </c>
      <c r="G184" s="1" t="s">
        <v>587</v>
      </c>
      <c r="H184" s="1" t="s">
        <v>588</v>
      </c>
    </row>
    <row r="185" spans="1:8" x14ac:dyDescent="0.25">
      <c r="A185" s="1">
        <v>1055</v>
      </c>
      <c r="B185" s="19">
        <v>45972</v>
      </c>
      <c r="C185" s="1">
        <v>57</v>
      </c>
      <c r="D185" s="1" t="s">
        <v>194</v>
      </c>
      <c r="E185" s="1" t="s">
        <v>126</v>
      </c>
      <c r="F185" s="1">
        <v>12</v>
      </c>
      <c r="G185" s="1" t="s">
        <v>606</v>
      </c>
      <c r="H185" s="1" t="s">
        <v>607</v>
      </c>
    </row>
    <row r="186" spans="1:8" x14ac:dyDescent="0.25">
      <c r="A186" s="1">
        <v>1120</v>
      </c>
      <c r="B186" s="19">
        <v>46037</v>
      </c>
      <c r="C186" s="1">
        <v>23</v>
      </c>
      <c r="D186" s="1" t="s">
        <v>170</v>
      </c>
      <c r="E186" s="1" t="s">
        <v>126</v>
      </c>
      <c r="F186" s="1">
        <v>12</v>
      </c>
      <c r="G186" s="1" t="s">
        <v>582</v>
      </c>
      <c r="H186" s="1" t="s">
        <v>583</v>
      </c>
    </row>
    <row r="187" spans="1:8" x14ac:dyDescent="0.25">
      <c r="A187" s="1">
        <v>1121</v>
      </c>
      <c r="B187" s="19">
        <v>46038</v>
      </c>
      <c r="C187" s="1">
        <v>24</v>
      </c>
      <c r="D187" s="1" t="s">
        <v>171</v>
      </c>
      <c r="E187" s="1" t="s">
        <v>126</v>
      </c>
      <c r="F187" s="1">
        <v>12</v>
      </c>
      <c r="G187" s="1" t="s">
        <v>587</v>
      </c>
      <c r="H187" s="1" t="s">
        <v>588</v>
      </c>
    </row>
    <row r="188" spans="1:8" x14ac:dyDescent="0.25">
      <c r="A188" s="1">
        <v>1122</v>
      </c>
      <c r="B188" s="19">
        <v>46039</v>
      </c>
      <c r="C188" s="1">
        <v>25</v>
      </c>
      <c r="D188" s="1" t="s">
        <v>154</v>
      </c>
      <c r="E188" s="1" t="s">
        <v>126</v>
      </c>
      <c r="F188" s="1">
        <v>12</v>
      </c>
      <c r="G188" s="1" t="s">
        <v>592</v>
      </c>
      <c r="H188" s="1" t="s">
        <v>593</v>
      </c>
    </row>
    <row r="189" spans="1:8" x14ac:dyDescent="0.25">
      <c r="A189" s="1">
        <v>1123</v>
      </c>
      <c r="B189" s="19">
        <v>46040</v>
      </c>
      <c r="C189" s="1">
        <v>26</v>
      </c>
      <c r="D189" s="1" t="s">
        <v>172</v>
      </c>
      <c r="E189" s="1" t="s">
        <v>126</v>
      </c>
      <c r="F189" s="1">
        <v>12</v>
      </c>
      <c r="G189" s="1" t="s">
        <v>597</v>
      </c>
      <c r="H189" s="1" t="s">
        <v>598</v>
      </c>
    </row>
    <row r="190" spans="1:8" x14ac:dyDescent="0.25">
      <c r="A190" s="1">
        <v>1127</v>
      </c>
      <c r="B190" s="19">
        <v>46044</v>
      </c>
      <c r="C190" s="1">
        <v>30</v>
      </c>
      <c r="D190" s="1" t="s">
        <v>175</v>
      </c>
      <c r="E190" s="1" t="s">
        <v>126</v>
      </c>
      <c r="F190" s="1">
        <v>12</v>
      </c>
      <c r="G190" s="1" t="s">
        <v>616</v>
      </c>
      <c r="H190" s="1" t="s">
        <v>617</v>
      </c>
    </row>
    <row r="191" spans="1:8" x14ac:dyDescent="0.25">
      <c r="A191" s="1">
        <v>1144</v>
      </c>
      <c r="B191" s="19">
        <v>46061</v>
      </c>
      <c r="C191" s="1">
        <v>47</v>
      </c>
      <c r="D191" s="1" t="s">
        <v>148</v>
      </c>
      <c r="E191" s="1" t="s">
        <v>126</v>
      </c>
      <c r="F191" s="1">
        <v>12</v>
      </c>
      <c r="G191" s="4" t="s">
        <v>49</v>
      </c>
      <c r="H191" s="5" t="s">
        <v>50</v>
      </c>
    </row>
    <row r="192" spans="1:8" x14ac:dyDescent="0.25">
      <c r="A192" s="1">
        <v>1147</v>
      </c>
      <c r="B192" s="19">
        <v>46064</v>
      </c>
      <c r="C192" s="1">
        <v>50</v>
      </c>
      <c r="D192" s="1" t="s">
        <v>188</v>
      </c>
      <c r="E192" s="1" t="s">
        <v>126</v>
      </c>
      <c r="F192" s="1">
        <v>12</v>
      </c>
      <c r="G192" s="4" t="s">
        <v>32</v>
      </c>
      <c r="H192" s="5" t="s">
        <v>33</v>
      </c>
    </row>
    <row r="193" spans="1:8" x14ac:dyDescent="0.25">
      <c r="A193" s="1">
        <v>1167</v>
      </c>
      <c r="B193" s="19">
        <v>46084</v>
      </c>
      <c r="C193" s="1">
        <v>70</v>
      </c>
      <c r="D193" s="1" t="s">
        <v>168</v>
      </c>
      <c r="E193" s="1" t="s">
        <v>126</v>
      </c>
      <c r="F193" s="1">
        <v>12</v>
      </c>
      <c r="G193" s="1" t="s">
        <v>465</v>
      </c>
      <c r="H193" s="1" t="s">
        <v>466</v>
      </c>
    </row>
    <row r="194" spans="1:8" x14ac:dyDescent="0.25">
      <c r="A194" s="1">
        <v>1168</v>
      </c>
      <c r="B194" s="19">
        <v>46085</v>
      </c>
      <c r="C194" s="1">
        <v>71</v>
      </c>
      <c r="D194" s="1" t="s">
        <v>189</v>
      </c>
      <c r="E194" s="1" t="s">
        <v>138</v>
      </c>
      <c r="F194" s="1">
        <v>12</v>
      </c>
      <c r="G194" s="1" t="s">
        <v>470</v>
      </c>
      <c r="H194" s="1" t="s">
        <v>471</v>
      </c>
    </row>
    <row r="195" spans="1:8" x14ac:dyDescent="0.25">
      <c r="A195" s="1">
        <v>1169</v>
      </c>
      <c r="B195" s="19">
        <v>46086</v>
      </c>
      <c r="C195" s="1">
        <v>72</v>
      </c>
      <c r="D195" s="1" t="s">
        <v>204</v>
      </c>
      <c r="E195" s="1" t="s">
        <v>143</v>
      </c>
      <c r="F195" s="1">
        <v>12</v>
      </c>
      <c r="G195" s="1" t="s">
        <v>475</v>
      </c>
      <c r="H195" s="1" t="s">
        <v>476</v>
      </c>
    </row>
    <row r="196" spans="1:8" x14ac:dyDescent="0.25">
      <c r="A196" s="1">
        <v>1174</v>
      </c>
      <c r="B196" s="19">
        <v>46091</v>
      </c>
      <c r="C196" s="1">
        <v>77</v>
      </c>
      <c r="D196" s="1" t="s">
        <v>206</v>
      </c>
      <c r="E196" s="1" t="s">
        <v>138</v>
      </c>
      <c r="F196" s="1">
        <v>12</v>
      </c>
      <c r="G196" s="1" t="s">
        <v>501</v>
      </c>
      <c r="H196" s="1" t="s">
        <v>502</v>
      </c>
    </row>
    <row r="197" spans="1:8" x14ac:dyDescent="0.25">
      <c r="A197" s="1">
        <v>1178</v>
      </c>
      <c r="B197" s="19">
        <v>46095</v>
      </c>
      <c r="C197" s="1">
        <v>81</v>
      </c>
      <c r="D197" s="1" t="s">
        <v>166</v>
      </c>
      <c r="E197" s="1" t="s">
        <v>136</v>
      </c>
      <c r="F197" s="1">
        <v>12</v>
      </c>
      <c r="G197" s="1" t="s">
        <v>521</v>
      </c>
      <c r="H197" s="1" t="s">
        <v>522</v>
      </c>
    </row>
    <row r="198" spans="1:8" x14ac:dyDescent="0.25">
      <c r="A198" s="1">
        <v>1181</v>
      </c>
      <c r="B198" s="19">
        <v>46098</v>
      </c>
      <c r="C198" s="1">
        <v>84</v>
      </c>
      <c r="D198" s="1" t="s">
        <v>208</v>
      </c>
      <c r="E198" s="1" t="s">
        <v>136</v>
      </c>
      <c r="F198" s="1">
        <v>12</v>
      </c>
      <c r="G198" s="1" t="s">
        <v>534</v>
      </c>
      <c r="H198" s="1" t="s">
        <v>535</v>
      </c>
    </row>
    <row r="199" spans="1:8" x14ac:dyDescent="0.25">
      <c r="A199" s="1">
        <v>1185</v>
      </c>
      <c r="B199" s="19">
        <v>46102</v>
      </c>
      <c r="C199" s="1">
        <v>88</v>
      </c>
      <c r="D199" s="1" t="s">
        <v>212</v>
      </c>
      <c r="E199" s="1" t="s">
        <v>126</v>
      </c>
      <c r="F199" s="1">
        <v>12</v>
      </c>
      <c r="G199" s="1" t="s">
        <v>556</v>
      </c>
      <c r="H199" s="1" t="s">
        <v>557</v>
      </c>
    </row>
    <row r="200" spans="1:8" x14ac:dyDescent="0.25">
      <c r="A200" s="1">
        <v>1187</v>
      </c>
      <c r="B200" s="19">
        <v>46104</v>
      </c>
      <c r="C200" s="1">
        <v>90</v>
      </c>
      <c r="D200" s="1" t="s">
        <v>182</v>
      </c>
      <c r="E200" s="1" t="s">
        <v>126</v>
      </c>
      <c r="F200" s="1">
        <v>12</v>
      </c>
      <c r="G200" s="1" t="s">
        <v>566</v>
      </c>
      <c r="H200" s="1" t="s">
        <v>567</v>
      </c>
    </row>
    <row r="201" spans="1:8" x14ac:dyDescent="0.25">
      <c r="A201" s="1">
        <v>1037</v>
      </c>
      <c r="B201" s="19">
        <v>45954</v>
      </c>
      <c r="C201" s="1">
        <v>39</v>
      </c>
      <c r="D201" s="1" t="s">
        <v>181</v>
      </c>
      <c r="E201" s="1" t="s">
        <v>138</v>
      </c>
      <c r="F201" s="1">
        <v>11</v>
      </c>
      <c r="G201" s="1" t="s">
        <v>516</v>
      </c>
      <c r="H201" s="1" t="s">
        <v>517</v>
      </c>
    </row>
    <row r="202" spans="1:8" x14ac:dyDescent="0.25">
      <c r="A202" s="1">
        <v>1038</v>
      </c>
      <c r="B202" s="19">
        <v>45955</v>
      </c>
      <c r="C202" s="1">
        <v>40</v>
      </c>
      <c r="D202" s="1" t="s">
        <v>182</v>
      </c>
      <c r="E202" s="1" t="s">
        <v>126</v>
      </c>
      <c r="F202" s="1">
        <v>11</v>
      </c>
      <c r="G202" s="1" t="s">
        <v>521</v>
      </c>
      <c r="H202" s="1" t="s">
        <v>522</v>
      </c>
    </row>
    <row r="203" spans="1:8" x14ac:dyDescent="0.25">
      <c r="A203" s="1">
        <v>1140</v>
      </c>
      <c r="B203" s="19">
        <v>46057</v>
      </c>
      <c r="C203" s="1">
        <v>43</v>
      </c>
      <c r="D203" s="1" t="s">
        <v>185</v>
      </c>
      <c r="E203" s="1" t="s">
        <v>126</v>
      </c>
      <c r="F203" s="1">
        <v>8</v>
      </c>
      <c r="G203" s="4" t="s">
        <v>73</v>
      </c>
      <c r="H203" s="5" t="s">
        <v>74</v>
      </c>
    </row>
    <row r="204" spans="1:8" x14ac:dyDescent="0.25">
      <c r="A204" s="1">
        <v>1192</v>
      </c>
      <c r="B204" s="19">
        <v>46109</v>
      </c>
      <c r="C204" s="1">
        <v>95</v>
      </c>
      <c r="D204" s="1" t="s">
        <v>213</v>
      </c>
      <c r="E204" s="1" t="s">
        <v>126</v>
      </c>
      <c r="F204" s="1">
        <v>8</v>
      </c>
      <c r="G204" s="1" t="s">
        <v>592</v>
      </c>
      <c r="H204" s="1" t="s">
        <v>593</v>
      </c>
    </row>
    <row r="205" spans="1:8" x14ac:dyDescent="0.25">
      <c r="A205" s="1">
        <v>1190</v>
      </c>
      <c r="B205" s="19">
        <v>46107</v>
      </c>
      <c r="C205" s="1">
        <v>93</v>
      </c>
      <c r="D205" s="1" t="s">
        <v>168</v>
      </c>
      <c r="E205" s="1" t="s">
        <v>126</v>
      </c>
      <c r="F205" s="1">
        <v>6</v>
      </c>
      <c r="G205" s="1" t="s">
        <v>582</v>
      </c>
      <c r="H205" s="1" t="s">
        <v>583</v>
      </c>
    </row>
    <row r="206" spans="1:8" x14ac:dyDescent="0.25">
      <c r="A206" s="1">
        <v>1199</v>
      </c>
      <c r="B206" s="19">
        <v>46116</v>
      </c>
      <c r="C206" s="1">
        <v>100</v>
      </c>
      <c r="D206" s="1" t="s">
        <v>214</v>
      </c>
      <c r="E206" s="1" t="s">
        <v>136</v>
      </c>
      <c r="F206" s="1">
        <v>6</v>
      </c>
      <c r="G206" s="1" t="s">
        <v>626</v>
      </c>
      <c r="H206" s="1" t="s">
        <v>627</v>
      </c>
    </row>
    <row r="207" spans="1:8" x14ac:dyDescent="0.25">
      <c r="A207" s="1">
        <v>1177</v>
      </c>
      <c r="B207" s="19">
        <v>46094</v>
      </c>
      <c r="C207" s="1">
        <v>80</v>
      </c>
      <c r="D207" s="1" t="s">
        <v>158</v>
      </c>
      <c r="E207" s="1" t="s">
        <v>138</v>
      </c>
      <c r="F207" s="1">
        <v>3</v>
      </c>
      <c r="G207" s="1" t="s">
        <v>516</v>
      </c>
      <c r="H207" s="1" t="s">
        <v>517</v>
      </c>
    </row>
    <row r="208" spans="1:8" x14ac:dyDescent="0.25">
      <c r="A208" s="1">
        <v>1183</v>
      </c>
      <c r="B208" s="19">
        <v>46100</v>
      </c>
      <c r="C208" s="1">
        <v>86</v>
      </c>
      <c r="D208" s="1" t="s">
        <v>210</v>
      </c>
      <c r="E208" s="1" t="s">
        <v>126</v>
      </c>
      <c r="F208" s="1">
        <v>3</v>
      </c>
      <c r="G208" s="1" t="s">
        <v>545</v>
      </c>
      <c r="H208" s="1" t="s">
        <v>546</v>
      </c>
    </row>
    <row r="209" spans="1:8" x14ac:dyDescent="0.25">
      <c r="A209" s="1">
        <v>1184</v>
      </c>
      <c r="B209" s="19">
        <v>46101</v>
      </c>
      <c r="C209" s="1">
        <v>87</v>
      </c>
      <c r="D209" s="1" t="s">
        <v>211</v>
      </c>
      <c r="E209" s="1" t="s">
        <v>136</v>
      </c>
      <c r="F209" s="1">
        <v>3</v>
      </c>
      <c r="G209" s="1" t="s">
        <v>551</v>
      </c>
      <c r="H209" s="1" t="s">
        <v>552</v>
      </c>
    </row>
    <row r="210" spans="1:8" x14ac:dyDescent="0.25">
      <c r="A210" s="1">
        <v>1186</v>
      </c>
      <c r="B210" s="19">
        <v>46103</v>
      </c>
      <c r="C210" s="1">
        <v>89</v>
      </c>
      <c r="D210" s="1" t="s">
        <v>166</v>
      </c>
      <c r="E210" s="1" t="s">
        <v>136</v>
      </c>
      <c r="F210" s="1">
        <v>3</v>
      </c>
      <c r="G210" s="1" t="s">
        <v>561</v>
      </c>
      <c r="H210" s="1" t="s">
        <v>562</v>
      </c>
    </row>
  </sheetData>
  <autoFilter ref="A10:H210" xr:uid="{79CD1A43-06A1-40D1-A6CE-763873B13DF7}">
    <sortState xmlns:xlrd2="http://schemas.microsoft.com/office/spreadsheetml/2017/richdata2" ref="A23:H155">
      <sortCondition descending="1" ref="F10:F21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84435-FC1D-4612-B80B-22A92BA342DB}">
  <sheetPr codeName="Planilha4"/>
  <dimension ref="A1:F82"/>
  <sheetViews>
    <sheetView showGridLines="0" topLeftCell="B1" zoomScale="110" workbookViewId="0">
      <selection activeCell="L15" sqref="L15"/>
    </sheetView>
  </sheetViews>
  <sheetFormatPr defaultRowHeight="15" x14ac:dyDescent="0.25"/>
  <cols>
    <col min="1" max="1" width="19.42578125" customWidth="1"/>
    <col min="2" max="2" width="28.42578125" customWidth="1"/>
    <col min="3" max="3" width="22" customWidth="1"/>
    <col min="4" max="4" width="17" customWidth="1"/>
    <col min="5" max="5" width="11.42578125" customWidth="1"/>
    <col min="6" max="6" width="83.42578125" customWidth="1"/>
  </cols>
  <sheetData>
    <row r="1" spans="1:6" x14ac:dyDescent="0.25">
      <c r="A1" s="2" t="s">
        <v>4</v>
      </c>
      <c r="B1" s="6" t="s">
        <v>67</v>
      </c>
    </row>
    <row r="2" spans="1:6" x14ac:dyDescent="0.25">
      <c r="A2" s="3" t="s">
        <v>5</v>
      </c>
      <c r="B2" s="6" t="s">
        <v>68</v>
      </c>
      <c r="E2" t="s">
        <v>6</v>
      </c>
    </row>
    <row r="3" spans="1:6" x14ac:dyDescent="0.25">
      <c r="A3" s="3" t="s">
        <v>3</v>
      </c>
      <c r="B3" s="6" t="s">
        <v>69</v>
      </c>
    </row>
    <row r="4" spans="1:6" x14ac:dyDescent="0.25">
      <c r="A4" s="3" t="s">
        <v>2</v>
      </c>
      <c r="B4" s="6" t="s">
        <v>70</v>
      </c>
      <c r="E4" t="s">
        <v>7</v>
      </c>
    </row>
    <row r="5" spans="1:6" x14ac:dyDescent="0.25">
      <c r="A5" s="3" t="s">
        <v>0</v>
      </c>
      <c r="B5" s="6" t="s">
        <v>71</v>
      </c>
    </row>
    <row r="6" spans="1:6" x14ac:dyDescent="0.25">
      <c r="A6" s="3" t="s">
        <v>1</v>
      </c>
      <c r="B6" s="6" t="s">
        <v>72</v>
      </c>
      <c r="E6" t="s">
        <v>8</v>
      </c>
    </row>
    <row r="8" spans="1:6" x14ac:dyDescent="0.25">
      <c r="A8" s="2" t="s">
        <v>4</v>
      </c>
      <c r="B8" s="3" t="s">
        <v>5</v>
      </c>
      <c r="C8" s="3" t="s">
        <v>3</v>
      </c>
      <c r="D8" s="3" t="s">
        <v>2</v>
      </c>
      <c r="E8" s="3" t="s">
        <v>0</v>
      </c>
      <c r="F8" s="3" t="s">
        <v>1</v>
      </c>
    </row>
    <row r="9" spans="1:6" x14ac:dyDescent="0.25">
      <c r="A9" s="4" t="s">
        <v>73</v>
      </c>
      <c r="B9" s="5" t="s">
        <v>74</v>
      </c>
      <c r="C9" s="5" t="s">
        <v>75</v>
      </c>
      <c r="D9" s="5" t="s">
        <v>76</v>
      </c>
      <c r="E9" s="5" t="s">
        <v>77</v>
      </c>
      <c r="F9" s="5" t="s">
        <v>78</v>
      </c>
    </row>
    <row r="10" spans="1:6" x14ac:dyDescent="0.25">
      <c r="A10" s="4" t="s">
        <v>67</v>
      </c>
      <c r="B10" s="5" t="s">
        <v>68</v>
      </c>
      <c r="C10" s="5" t="s">
        <v>69</v>
      </c>
      <c r="D10" s="5" t="s">
        <v>70</v>
      </c>
      <c r="E10" s="5" t="s">
        <v>71</v>
      </c>
      <c r="F10" s="5" t="s">
        <v>72</v>
      </c>
    </row>
    <row r="11" spans="1:6" x14ac:dyDescent="0.25">
      <c r="A11" s="4" t="s">
        <v>61</v>
      </c>
      <c r="B11" s="5" t="s">
        <v>62</v>
      </c>
      <c r="C11" s="5" t="s">
        <v>63</v>
      </c>
      <c r="D11" s="5" t="s">
        <v>64</v>
      </c>
      <c r="E11" s="5" t="s">
        <v>65</v>
      </c>
      <c r="F11" s="5" t="s">
        <v>66</v>
      </c>
    </row>
    <row r="12" spans="1:6" x14ac:dyDescent="0.25">
      <c r="A12" s="4" t="s">
        <v>55</v>
      </c>
      <c r="B12" s="5" t="s">
        <v>56</v>
      </c>
      <c r="C12" s="5" t="s">
        <v>57</v>
      </c>
      <c r="D12" s="5" t="s">
        <v>58</v>
      </c>
      <c r="E12" s="5" t="s">
        <v>59</v>
      </c>
      <c r="F12" s="5" t="s">
        <v>60</v>
      </c>
    </row>
    <row r="13" spans="1:6" x14ac:dyDescent="0.25">
      <c r="A13" s="4" t="s">
        <v>49</v>
      </c>
      <c r="B13" s="5" t="s">
        <v>50</v>
      </c>
      <c r="C13" s="5" t="s">
        <v>51</v>
      </c>
      <c r="D13" s="5" t="s">
        <v>52</v>
      </c>
      <c r="E13" s="5" t="s">
        <v>53</v>
      </c>
      <c r="F13" s="5" t="s">
        <v>54</v>
      </c>
    </row>
    <row r="14" spans="1:6" x14ac:dyDescent="0.25">
      <c r="A14" s="4" t="s">
        <v>43</v>
      </c>
      <c r="B14" s="5" t="s">
        <v>44</v>
      </c>
      <c r="C14" s="5" t="s">
        <v>45</v>
      </c>
      <c r="D14" s="5" t="s">
        <v>46</v>
      </c>
      <c r="E14" s="5" t="s">
        <v>47</v>
      </c>
      <c r="F14" s="5" t="s">
        <v>48</v>
      </c>
    </row>
    <row r="15" spans="1:6" x14ac:dyDescent="0.25">
      <c r="A15" s="4" t="s">
        <v>37</v>
      </c>
      <c r="B15" s="5" t="s">
        <v>38</v>
      </c>
      <c r="C15" s="5" t="s">
        <v>39</v>
      </c>
      <c r="D15" s="5" t="s">
        <v>40</v>
      </c>
      <c r="E15" s="5" t="s">
        <v>41</v>
      </c>
      <c r="F15" s="5" t="s">
        <v>42</v>
      </c>
    </row>
    <row r="16" spans="1:6" x14ac:dyDescent="0.25">
      <c r="A16" s="4" t="s">
        <v>32</v>
      </c>
      <c r="B16" s="5" t="s">
        <v>33</v>
      </c>
      <c r="C16" s="5" t="s">
        <v>34</v>
      </c>
      <c r="D16" s="5" t="s">
        <v>35</v>
      </c>
      <c r="E16" s="5" t="s">
        <v>9</v>
      </c>
      <c r="F16" s="5" t="s">
        <v>36</v>
      </c>
    </row>
    <row r="17" spans="1:6" x14ac:dyDescent="0.25">
      <c r="A17" s="4" t="s">
        <v>26</v>
      </c>
      <c r="B17" s="5" t="s">
        <v>27</v>
      </c>
      <c r="C17" s="5" t="s">
        <v>28</v>
      </c>
      <c r="D17" s="5" t="s">
        <v>29</v>
      </c>
      <c r="E17" s="5" t="s">
        <v>30</v>
      </c>
      <c r="F17" s="5" t="s">
        <v>31</v>
      </c>
    </row>
    <row r="18" spans="1:6" x14ac:dyDescent="0.25">
      <c r="A18" s="4" t="s">
        <v>20</v>
      </c>
      <c r="B18" s="5" t="s">
        <v>21</v>
      </c>
      <c r="C18" s="5" t="s">
        <v>22</v>
      </c>
      <c r="D18" s="5" t="s">
        <v>23</v>
      </c>
      <c r="E18" s="5" t="s">
        <v>24</v>
      </c>
      <c r="F18" s="5" t="s">
        <v>25</v>
      </c>
    </row>
    <row r="19" spans="1:6" x14ac:dyDescent="0.25">
      <c r="A19" s="4" t="s">
        <v>15</v>
      </c>
      <c r="B19" s="5" t="s">
        <v>16</v>
      </c>
      <c r="C19" s="5" t="s">
        <v>17</v>
      </c>
      <c r="D19" s="5" t="s">
        <v>18</v>
      </c>
      <c r="E19" s="5" t="s">
        <v>9</v>
      </c>
      <c r="F19" s="5" t="s">
        <v>19</v>
      </c>
    </row>
    <row r="20" spans="1:6" x14ac:dyDescent="0.25">
      <c r="A20" s="4" t="s">
        <v>11</v>
      </c>
      <c r="B20" s="5" t="s">
        <v>10</v>
      </c>
      <c r="C20" s="5" t="s">
        <v>12</v>
      </c>
      <c r="D20" s="5" t="s">
        <v>13</v>
      </c>
      <c r="E20" s="5" t="s">
        <v>9</v>
      </c>
      <c r="F20" s="5" t="s">
        <v>14</v>
      </c>
    </row>
    <row r="21" spans="1:6" x14ac:dyDescent="0.25">
      <c r="A21" s="7" t="s">
        <v>82</v>
      </c>
      <c r="B21" s="7" t="s">
        <v>83</v>
      </c>
      <c r="C21" s="7" t="s">
        <v>84</v>
      </c>
      <c r="D21" s="7" t="s">
        <v>85</v>
      </c>
      <c r="E21" s="7" t="s">
        <v>9</v>
      </c>
      <c r="F21" s="7" t="s">
        <v>86</v>
      </c>
    </row>
    <row r="22" spans="1:6" x14ac:dyDescent="0.25">
      <c r="A22" s="7" t="s">
        <v>87</v>
      </c>
      <c r="B22" s="7" t="s">
        <v>88</v>
      </c>
      <c r="C22" s="7" t="s">
        <v>89</v>
      </c>
      <c r="D22" s="7" t="s">
        <v>90</v>
      </c>
      <c r="E22" s="7" t="s">
        <v>91</v>
      </c>
      <c r="F22" s="7" t="s">
        <v>92</v>
      </c>
    </row>
    <row r="23" spans="1:6" x14ac:dyDescent="0.25">
      <c r="A23" s="7" t="s">
        <v>73</v>
      </c>
      <c r="B23" s="7" t="s">
        <v>74</v>
      </c>
      <c r="C23" s="7" t="s">
        <v>75</v>
      </c>
      <c r="D23" s="7" t="s">
        <v>76</v>
      </c>
      <c r="E23" s="7" t="s">
        <v>77</v>
      </c>
      <c r="F23" s="7" t="s">
        <v>78</v>
      </c>
    </row>
    <row r="24" spans="1:6" x14ac:dyDescent="0.25">
      <c r="A24" s="7" t="s">
        <v>49</v>
      </c>
      <c r="B24" s="7" t="s">
        <v>50</v>
      </c>
      <c r="C24" s="7" t="s">
        <v>51</v>
      </c>
      <c r="D24" s="7" t="s">
        <v>52</v>
      </c>
      <c r="E24" s="7" t="s">
        <v>53</v>
      </c>
      <c r="F24" s="7" t="s">
        <v>54</v>
      </c>
    </row>
    <row r="25" spans="1:6" x14ac:dyDescent="0.25">
      <c r="A25" s="7" t="s">
        <v>93</v>
      </c>
      <c r="B25" s="7" t="s">
        <v>94</v>
      </c>
      <c r="C25" s="7" t="s">
        <v>95</v>
      </c>
      <c r="D25" s="7" t="s">
        <v>96</v>
      </c>
      <c r="E25" s="7" t="s">
        <v>97</v>
      </c>
      <c r="F25" s="7" t="s">
        <v>98</v>
      </c>
    </row>
    <row r="26" spans="1:6" x14ac:dyDescent="0.25">
      <c r="A26" s="7" t="s">
        <v>99</v>
      </c>
      <c r="B26" s="7" t="s">
        <v>100</v>
      </c>
      <c r="C26" s="7" t="s">
        <v>101</v>
      </c>
      <c r="D26" s="7" t="s">
        <v>102</v>
      </c>
      <c r="E26" s="7" t="s">
        <v>103</v>
      </c>
      <c r="F26" s="7" t="s">
        <v>104</v>
      </c>
    </row>
    <row r="27" spans="1:6" x14ac:dyDescent="0.25">
      <c r="A27" s="7" t="s">
        <v>43</v>
      </c>
      <c r="B27" s="7" t="s">
        <v>44</v>
      </c>
      <c r="C27" s="7" t="s">
        <v>45</v>
      </c>
      <c r="D27" s="7" t="s">
        <v>46</v>
      </c>
      <c r="E27" s="7" t="s">
        <v>47</v>
      </c>
      <c r="F27" s="7" t="s">
        <v>48</v>
      </c>
    </row>
    <row r="28" spans="1:6" x14ac:dyDescent="0.25">
      <c r="A28" s="7" t="s">
        <v>105</v>
      </c>
      <c r="B28" s="7" t="s">
        <v>106</v>
      </c>
      <c r="C28" s="7" t="s">
        <v>107</v>
      </c>
      <c r="D28" s="7" t="s">
        <v>108</v>
      </c>
      <c r="E28" s="7" t="s">
        <v>109</v>
      </c>
      <c r="F28" s="7" t="s">
        <v>110</v>
      </c>
    </row>
    <row r="29" spans="1:6" x14ac:dyDescent="0.25">
      <c r="A29" s="1" t="s">
        <v>425</v>
      </c>
      <c r="B29" s="1" t="s">
        <v>426</v>
      </c>
      <c r="C29" s="1" t="s">
        <v>427</v>
      </c>
      <c r="D29" s="1" t="s">
        <v>428</v>
      </c>
      <c r="E29" s="1" t="s">
        <v>429</v>
      </c>
      <c r="F29" s="1" t="s">
        <v>430</v>
      </c>
    </row>
    <row r="30" spans="1:6" x14ac:dyDescent="0.25">
      <c r="A30" s="1" t="s">
        <v>431</v>
      </c>
      <c r="B30" s="1" t="s">
        <v>432</v>
      </c>
      <c r="C30" s="1" t="s">
        <v>433</v>
      </c>
      <c r="D30" s="1" t="s">
        <v>434</v>
      </c>
      <c r="E30" s="1" t="s">
        <v>435</v>
      </c>
      <c r="F30" s="1" t="s">
        <v>436</v>
      </c>
    </row>
    <row r="31" spans="1:6" x14ac:dyDescent="0.25">
      <c r="A31" s="1" t="s">
        <v>437</v>
      </c>
      <c r="B31" s="1" t="s">
        <v>438</v>
      </c>
      <c r="C31" s="1" t="s">
        <v>439</v>
      </c>
      <c r="D31" s="1" t="s">
        <v>440</v>
      </c>
      <c r="E31" s="1" t="s">
        <v>441</v>
      </c>
      <c r="F31" s="1" t="s">
        <v>442</v>
      </c>
    </row>
    <row r="32" spans="1:6" x14ac:dyDescent="0.25">
      <c r="A32" s="1" t="s">
        <v>443</v>
      </c>
      <c r="B32" s="1" t="s">
        <v>444</v>
      </c>
      <c r="C32" s="1" t="s">
        <v>445</v>
      </c>
      <c r="D32" s="1" t="s">
        <v>446</v>
      </c>
      <c r="E32" s="1" t="s">
        <v>447</v>
      </c>
      <c r="F32" s="1" t="s">
        <v>448</v>
      </c>
    </row>
    <row r="33" spans="1:6" x14ac:dyDescent="0.25">
      <c r="A33" s="1" t="s">
        <v>449</v>
      </c>
      <c r="B33" s="1" t="s">
        <v>450</v>
      </c>
      <c r="C33" s="1" t="s">
        <v>451</v>
      </c>
      <c r="D33" s="1" t="s">
        <v>452</v>
      </c>
      <c r="E33" s="1" t="s">
        <v>453</v>
      </c>
      <c r="F33" s="1" t="s">
        <v>454</v>
      </c>
    </row>
    <row r="34" spans="1:6" x14ac:dyDescent="0.25">
      <c r="A34" s="1" t="s">
        <v>455</v>
      </c>
      <c r="B34" s="1" t="s">
        <v>456</v>
      </c>
      <c r="C34" s="1" t="s">
        <v>457</v>
      </c>
      <c r="D34" s="1" t="s">
        <v>458</v>
      </c>
      <c r="E34" s="1" t="s">
        <v>453</v>
      </c>
      <c r="F34" s="1" t="s">
        <v>459</v>
      </c>
    </row>
    <row r="35" spans="1:6" x14ac:dyDescent="0.25">
      <c r="A35" s="1" t="s">
        <v>460</v>
      </c>
      <c r="B35" s="1" t="s">
        <v>461</v>
      </c>
      <c r="C35" s="1" t="s">
        <v>462</v>
      </c>
      <c r="D35" s="1" t="s">
        <v>463</v>
      </c>
      <c r="E35" s="1" t="s">
        <v>429</v>
      </c>
      <c r="F35" s="1" t="s">
        <v>464</v>
      </c>
    </row>
    <row r="36" spans="1:6" x14ac:dyDescent="0.25">
      <c r="A36" s="1" t="s">
        <v>465</v>
      </c>
      <c r="B36" s="1" t="s">
        <v>466</v>
      </c>
      <c r="C36" s="1" t="s">
        <v>467</v>
      </c>
      <c r="D36" s="1" t="s">
        <v>468</v>
      </c>
      <c r="E36" s="1" t="s">
        <v>47</v>
      </c>
      <c r="F36" s="1" t="s">
        <v>469</v>
      </c>
    </row>
    <row r="37" spans="1:6" x14ac:dyDescent="0.25">
      <c r="A37" s="1" t="s">
        <v>470</v>
      </c>
      <c r="B37" s="1" t="s">
        <v>471</v>
      </c>
      <c r="C37" s="1" t="s">
        <v>472</v>
      </c>
      <c r="D37" s="1" t="s">
        <v>473</v>
      </c>
      <c r="E37" s="1" t="s">
        <v>59</v>
      </c>
      <c r="F37" s="1" t="s">
        <v>474</v>
      </c>
    </row>
    <row r="38" spans="1:6" x14ac:dyDescent="0.25">
      <c r="A38" s="1" t="s">
        <v>475</v>
      </c>
      <c r="B38" s="1" t="s">
        <v>476</v>
      </c>
      <c r="C38" s="1" t="s">
        <v>477</v>
      </c>
      <c r="D38" s="1" t="s">
        <v>478</v>
      </c>
      <c r="E38" s="1" t="s">
        <v>47</v>
      </c>
      <c r="F38" s="1" t="s">
        <v>479</v>
      </c>
    </row>
    <row r="39" spans="1:6" x14ac:dyDescent="0.25">
      <c r="A39" s="1" t="s">
        <v>480</v>
      </c>
      <c r="B39" s="1" t="s">
        <v>481</v>
      </c>
      <c r="C39" s="1" t="s">
        <v>482</v>
      </c>
      <c r="D39" s="1" t="s">
        <v>483</v>
      </c>
      <c r="E39" s="1" t="s">
        <v>484</v>
      </c>
      <c r="F39" s="1" t="s">
        <v>485</v>
      </c>
    </row>
    <row r="40" spans="1:6" x14ac:dyDescent="0.25">
      <c r="A40" s="1" t="s">
        <v>486</v>
      </c>
      <c r="B40" s="1" t="s">
        <v>487</v>
      </c>
      <c r="C40" s="1" t="s">
        <v>488</v>
      </c>
      <c r="D40" s="1" t="s">
        <v>489</v>
      </c>
      <c r="E40" s="1" t="s">
        <v>24</v>
      </c>
      <c r="F40" s="1" t="s">
        <v>490</v>
      </c>
    </row>
    <row r="41" spans="1:6" x14ac:dyDescent="0.25">
      <c r="A41" s="1" t="s">
        <v>491</v>
      </c>
      <c r="B41" s="1" t="s">
        <v>492</v>
      </c>
      <c r="C41" s="1" t="s">
        <v>493</v>
      </c>
      <c r="D41" s="1" t="s">
        <v>494</v>
      </c>
      <c r="E41" s="1" t="s">
        <v>453</v>
      </c>
      <c r="F41" s="1" t="s">
        <v>495</v>
      </c>
    </row>
    <row r="42" spans="1:6" x14ac:dyDescent="0.25">
      <c r="A42" s="1" t="s">
        <v>496</v>
      </c>
      <c r="B42" s="1" t="s">
        <v>497</v>
      </c>
      <c r="C42" s="1" t="s">
        <v>498</v>
      </c>
      <c r="D42" s="1" t="s">
        <v>499</v>
      </c>
      <c r="E42" s="1" t="s">
        <v>109</v>
      </c>
      <c r="F42" s="1" t="s">
        <v>500</v>
      </c>
    </row>
    <row r="43" spans="1:6" x14ac:dyDescent="0.25">
      <c r="A43" s="1" t="s">
        <v>501</v>
      </c>
      <c r="B43" s="1" t="s">
        <v>502</v>
      </c>
      <c r="C43" s="1" t="s">
        <v>503</v>
      </c>
      <c r="D43" s="1" t="s">
        <v>504</v>
      </c>
      <c r="E43" s="1" t="s">
        <v>41</v>
      </c>
      <c r="F43" s="1" t="s">
        <v>505</v>
      </c>
    </row>
    <row r="44" spans="1:6" x14ac:dyDescent="0.25">
      <c r="A44" s="1" t="s">
        <v>506</v>
      </c>
      <c r="B44" s="1" t="s">
        <v>507</v>
      </c>
      <c r="C44" s="1" t="s">
        <v>508</v>
      </c>
      <c r="D44" s="1" t="s">
        <v>509</v>
      </c>
      <c r="E44" s="1" t="s">
        <v>484</v>
      </c>
      <c r="F44" s="1" t="s">
        <v>510</v>
      </c>
    </row>
    <row r="45" spans="1:6" x14ac:dyDescent="0.25">
      <c r="A45" s="1" t="s">
        <v>511</v>
      </c>
      <c r="B45" s="1" t="s">
        <v>512</v>
      </c>
      <c r="C45" s="1" t="s">
        <v>513</v>
      </c>
      <c r="D45" s="1" t="s">
        <v>514</v>
      </c>
      <c r="E45" s="1" t="s">
        <v>441</v>
      </c>
      <c r="F45" s="1" t="s">
        <v>515</v>
      </c>
    </row>
    <row r="46" spans="1:6" x14ac:dyDescent="0.25">
      <c r="A46" s="1" t="s">
        <v>516</v>
      </c>
      <c r="B46" s="1" t="s">
        <v>517</v>
      </c>
      <c r="C46" s="1" t="s">
        <v>518</v>
      </c>
      <c r="D46" s="1" t="s">
        <v>519</v>
      </c>
      <c r="E46" s="1" t="s">
        <v>441</v>
      </c>
      <c r="F46" s="1" t="s">
        <v>520</v>
      </c>
    </row>
    <row r="47" spans="1:6" x14ac:dyDescent="0.25">
      <c r="A47" s="1" t="s">
        <v>521</v>
      </c>
      <c r="B47" s="1" t="s">
        <v>522</v>
      </c>
      <c r="C47" s="1" t="s">
        <v>523</v>
      </c>
      <c r="D47" s="1" t="s">
        <v>494</v>
      </c>
      <c r="E47" s="1" t="s">
        <v>53</v>
      </c>
      <c r="F47" s="1" t="s">
        <v>524</v>
      </c>
    </row>
    <row r="48" spans="1:6" x14ac:dyDescent="0.25">
      <c r="A48" s="1" t="s">
        <v>525</v>
      </c>
      <c r="B48" s="1" t="s">
        <v>526</v>
      </c>
      <c r="C48" s="1" t="s">
        <v>527</v>
      </c>
      <c r="D48" s="1" t="s">
        <v>519</v>
      </c>
      <c r="E48" s="1" t="s">
        <v>71</v>
      </c>
      <c r="F48" s="1" t="s">
        <v>528</v>
      </c>
    </row>
    <row r="49" spans="1:6" x14ac:dyDescent="0.25">
      <c r="A49" s="1" t="s">
        <v>529</v>
      </c>
      <c r="B49" s="1" t="s">
        <v>530</v>
      </c>
      <c r="C49" s="1" t="s">
        <v>531</v>
      </c>
      <c r="D49" s="1" t="s">
        <v>532</v>
      </c>
      <c r="E49" s="1" t="s">
        <v>91</v>
      </c>
      <c r="F49" s="1" t="s">
        <v>533</v>
      </c>
    </row>
    <row r="50" spans="1:6" x14ac:dyDescent="0.25">
      <c r="A50" s="1" t="s">
        <v>534</v>
      </c>
      <c r="B50" s="1" t="s">
        <v>535</v>
      </c>
      <c r="C50" s="1" t="s">
        <v>536</v>
      </c>
      <c r="D50" s="1" t="s">
        <v>537</v>
      </c>
      <c r="E50" s="1" t="s">
        <v>71</v>
      </c>
      <c r="F50" s="1" t="s">
        <v>538</v>
      </c>
    </row>
    <row r="51" spans="1:6" x14ac:dyDescent="0.25">
      <c r="A51" s="1" t="s">
        <v>539</v>
      </c>
      <c r="B51" s="1" t="s">
        <v>540</v>
      </c>
      <c r="C51" s="1" t="s">
        <v>541</v>
      </c>
      <c r="D51" s="1" t="s">
        <v>542</v>
      </c>
      <c r="E51" s="1" t="s">
        <v>543</v>
      </c>
      <c r="F51" s="1" t="s">
        <v>544</v>
      </c>
    </row>
    <row r="52" spans="1:6" x14ac:dyDescent="0.25">
      <c r="A52" s="1" t="s">
        <v>545</v>
      </c>
      <c r="B52" s="1" t="s">
        <v>546</v>
      </c>
      <c r="C52" s="1" t="s">
        <v>547</v>
      </c>
      <c r="D52" s="1" t="s">
        <v>548</v>
      </c>
      <c r="E52" s="1" t="s">
        <v>549</v>
      </c>
      <c r="F52" s="1" t="s">
        <v>550</v>
      </c>
    </row>
    <row r="53" spans="1:6" x14ac:dyDescent="0.25">
      <c r="A53" s="1" t="s">
        <v>551</v>
      </c>
      <c r="B53" s="1" t="s">
        <v>552</v>
      </c>
      <c r="C53" s="1" t="s">
        <v>553</v>
      </c>
      <c r="D53" s="1" t="s">
        <v>554</v>
      </c>
      <c r="E53" s="1" t="s">
        <v>441</v>
      </c>
      <c r="F53" s="1" t="s">
        <v>555</v>
      </c>
    </row>
    <row r="54" spans="1:6" x14ac:dyDescent="0.25">
      <c r="A54" s="1" t="s">
        <v>556</v>
      </c>
      <c r="B54" s="1" t="s">
        <v>557</v>
      </c>
      <c r="C54" s="1" t="s">
        <v>558</v>
      </c>
      <c r="D54" s="1" t="s">
        <v>559</v>
      </c>
      <c r="E54" s="1" t="s">
        <v>9</v>
      </c>
      <c r="F54" s="1" t="s">
        <v>560</v>
      </c>
    </row>
    <row r="55" spans="1:6" x14ac:dyDescent="0.25">
      <c r="A55" s="1" t="s">
        <v>561</v>
      </c>
      <c r="B55" s="1" t="s">
        <v>562</v>
      </c>
      <c r="C55" s="1" t="s">
        <v>563</v>
      </c>
      <c r="D55" s="1" t="s">
        <v>564</v>
      </c>
      <c r="E55" s="1" t="s">
        <v>59</v>
      </c>
      <c r="F55" s="1" t="s">
        <v>565</v>
      </c>
    </row>
    <row r="56" spans="1:6" x14ac:dyDescent="0.25">
      <c r="A56" s="1" t="s">
        <v>566</v>
      </c>
      <c r="B56" s="1" t="s">
        <v>567</v>
      </c>
      <c r="C56" s="1" t="s">
        <v>568</v>
      </c>
      <c r="D56" s="1" t="s">
        <v>569</v>
      </c>
      <c r="E56" s="1" t="s">
        <v>570</v>
      </c>
      <c r="F56" s="1" t="s">
        <v>571</v>
      </c>
    </row>
    <row r="57" spans="1:6" x14ac:dyDescent="0.25">
      <c r="A57" s="1" t="s">
        <v>572</v>
      </c>
      <c r="B57" s="1" t="s">
        <v>573</v>
      </c>
      <c r="C57" s="1" t="s">
        <v>574</v>
      </c>
      <c r="D57" s="1" t="s">
        <v>575</v>
      </c>
      <c r="E57" s="1" t="s">
        <v>570</v>
      </c>
      <c r="F57" s="1" t="s">
        <v>576</v>
      </c>
    </row>
    <row r="58" spans="1:6" x14ac:dyDescent="0.25">
      <c r="A58" s="1" t="s">
        <v>577</v>
      </c>
      <c r="B58" s="1" t="s">
        <v>578</v>
      </c>
      <c r="C58" s="1" t="s">
        <v>579</v>
      </c>
      <c r="D58" s="1" t="s">
        <v>580</v>
      </c>
      <c r="E58" s="1" t="s">
        <v>435</v>
      </c>
      <c r="F58" s="1" t="s">
        <v>581</v>
      </c>
    </row>
    <row r="59" spans="1:6" x14ac:dyDescent="0.25">
      <c r="A59" s="1" t="s">
        <v>582</v>
      </c>
      <c r="B59" s="1" t="s">
        <v>583</v>
      </c>
      <c r="C59" s="1" t="s">
        <v>584</v>
      </c>
      <c r="D59" s="1" t="s">
        <v>585</v>
      </c>
      <c r="E59" s="1" t="s">
        <v>447</v>
      </c>
      <c r="F59" s="1" t="s">
        <v>586</v>
      </c>
    </row>
    <row r="60" spans="1:6" x14ac:dyDescent="0.25">
      <c r="A60" s="1" t="s">
        <v>587</v>
      </c>
      <c r="B60" s="1" t="s">
        <v>588</v>
      </c>
      <c r="C60" s="1" t="s">
        <v>589</v>
      </c>
      <c r="D60" s="1" t="s">
        <v>590</v>
      </c>
      <c r="E60" s="1" t="s">
        <v>65</v>
      </c>
      <c r="F60" s="1" t="s">
        <v>591</v>
      </c>
    </row>
    <row r="61" spans="1:6" x14ac:dyDescent="0.25">
      <c r="A61" s="1" t="s">
        <v>592</v>
      </c>
      <c r="B61" s="1" t="s">
        <v>593</v>
      </c>
      <c r="C61" s="1" t="s">
        <v>594</v>
      </c>
      <c r="D61" s="1" t="s">
        <v>595</v>
      </c>
      <c r="E61" s="1" t="s">
        <v>71</v>
      </c>
      <c r="F61" s="1" t="s">
        <v>596</v>
      </c>
    </row>
    <row r="62" spans="1:6" x14ac:dyDescent="0.25">
      <c r="A62" s="1" t="s">
        <v>597</v>
      </c>
      <c r="B62" s="1" t="s">
        <v>598</v>
      </c>
      <c r="C62" s="1" t="s">
        <v>599</v>
      </c>
      <c r="D62" s="1" t="s">
        <v>600</v>
      </c>
      <c r="E62" s="1" t="s">
        <v>103</v>
      </c>
      <c r="F62" s="1" t="s">
        <v>601</v>
      </c>
    </row>
    <row r="63" spans="1:6" x14ac:dyDescent="0.25">
      <c r="A63" s="1" t="s">
        <v>602</v>
      </c>
      <c r="B63" s="1" t="s">
        <v>603</v>
      </c>
      <c r="C63" s="1" t="s">
        <v>604</v>
      </c>
      <c r="D63" s="1" t="s">
        <v>509</v>
      </c>
      <c r="E63" s="1" t="s">
        <v>103</v>
      </c>
      <c r="F63" s="1" t="s">
        <v>605</v>
      </c>
    </row>
    <row r="64" spans="1:6" x14ac:dyDescent="0.25">
      <c r="A64" s="1" t="s">
        <v>606</v>
      </c>
      <c r="B64" s="1" t="s">
        <v>607</v>
      </c>
      <c r="C64" s="1" t="s">
        <v>608</v>
      </c>
      <c r="D64" s="1" t="s">
        <v>609</v>
      </c>
      <c r="E64" s="1" t="s">
        <v>441</v>
      </c>
      <c r="F64" s="1" t="s">
        <v>610</v>
      </c>
    </row>
    <row r="65" spans="1:6" x14ac:dyDescent="0.25">
      <c r="A65" s="1" t="s">
        <v>611</v>
      </c>
      <c r="B65" s="1" t="s">
        <v>612</v>
      </c>
      <c r="C65" s="1" t="s">
        <v>613</v>
      </c>
      <c r="D65" s="1" t="s">
        <v>614</v>
      </c>
      <c r="E65" s="1" t="s">
        <v>543</v>
      </c>
      <c r="F65" s="1" t="s">
        <v>615</v>
      </c>
    </row>
    <row r="66" spans="1:6" x14ac:dyDescent="0.25">
      <c r="A66" s="1" t="s">
        <v>616</v>
      </c>
      <c r="B66" s="1" t="s">
        <v>617</v>
      </c>
      <c r="C66" s="1" t="s">
        <v>618</v>
      </c>
      <c r="D66" s="1" t="s">
        <v>619</v>
      </c>
      <c r="E66" s="1" t="s">
        <v>91</v>
      </c>
      <c r="F66" s="1" t="s">
        <v>620</v>
      </c>
    </row>
    <row r="67" spans="1:6" x14ac:dyDescent="0.25">
      <c r="A67" s="1" t="s">
        <v>621</v>
      </c>
      <c r="B67" s="1" t="s">
        <v>622</v>
      </c>
      <c r="C67" s="1" t="s">
        <v>623</v>
      </c>
      <c r="D67" s="1" t="s">
        <v>624</v>
      </c>
      <c r="E67" s="1" t="s">
        <v>103</v>
      </c>
      <c r="F67" s="1" t="s">
        <v>625</v>
      </c>
    </row>
    <row r="68" spans="1:6" x14ac:dyDescent="0.25">
      <c r="A68" s="1" t="s">
        <v>626</v>
      </c>
      <c r="B68" s="1" t="s">
        <v>627</v>
      </c>
      <c r="C68" s="1" t="s">
        <v>628</v>
      </c>
      <c r="D68" s="1" t="s">
        <v>629</v>
      </c>
      <c r="E68" s="1" t="s">
        <v>549</v>
      </c>
      <c r="F68" s="1" t="s">
        <v>630</v>
      </c>
    </row>
    <row r="69" spans="1:6" x14ac:dyDescent="0.25">
      <c r="A69" s="1" t="s">
        <v>631</v>
      </c>
      <c r="B69" s="1" t="s">
        <v>632</v>
      </c>
      <c r="C69" s="1" t="s">
        <v>633</v>
      </c>
      <c r="D69" s="1" t="s">
        <v>634</v>
      </c>
      <c r="E69" s="1" t="s">
        <v>441</v>
      </c>
      <c r="F69" s="1" t="s">
        <v>635</v>
      </c>
    </row>
    <row r="70" spans="1:6" x14ac:dyDescent="0.25">
      <c r="A70" s="1" t="s">
        <v>636</v>
      </c>
      <c r="B70" s="1" t="s">
        <v>637</v>
      </c>
      <c r="C70" s="1" t="s">
        <v>638</v>
      </c>
      <c r="D70" s="1" t="s">
        <v>639</v>
      </c>
      <c r="E70" s="1" t="s">
        <v>97</v>
      </c>
      <c r="F70" s="1" t="s">
        <v>640</v>
      </c>
    </row>
    <row r="71" spans="1:6" x14ac:dyDescent="0.25">
      <c r="A71" s="1" t="s">
        <v>641</v>
      </c>
      <c r="B71" s="1" t="s">
        <v>642</v>
      </c>
      <c r="C71" s="1" t="s">
        <v>643</v>
      </c>
      <c r="D71" s="1" t="s">
        <v>644</v>
      </c>
      <c r="E71" s="1" t="s">
        <v>570</v>
      </c>
      <c r="F71" s="1" t="s">
        <v>645</v>
      </c>
    </row>
    <row r="72" spans="1:6" x14ac:dyDescent="0.25">
      <c r="A72" s="1" t="s">
        <v>646</v>
      </c>
      <c r="B72" s="1" t="s">
        <v>647</v>
      </c>
      <c r="C72" s="1" t="s">
        <v>648</v>
      </c>
      <c r="D72" s="1" t="s">
        <v>649</v>
      </c>
      <c r="E72" s="1" t="s">
        <v>71</v>
      </c>
      <c r="F72" s="1" t="s">
        <v>650</v>
      </c>
    </row>
    <row r="73" spans="1:6" x14ac:dyDescent="0.25">
      <c r="A73" s="1" t="s">
        <v>651</v>
      </c>
      <c r="B73" s="1" t="s">
        <v>652</v>
      </c>
      <c r="C73" s="1" t="s">
        <v>653</v>
      </c>
      <c r="D73" s="1" t="s">
        <v>619</v>
      </c>
      <c r="E73" s="1" t="s">
        <v>654</v>
      </c>
      <c r="F73" s="1" t="s">
        <v>655</v>
      </c>
    </row>
    <row r="74" spans="1:6" x14ac:dyDescent="0.25">
      <c r="A74" s="1" t="s">
        <v>656</v>
      </c>
      <c r="B74" s="1" t="s">
        <v>657</v>
      </c>
      <c r="C74" s="1" t="s">
        <v>658</v>
      </c>
      <c r="D74" s="1" t="s">
        <v>428</v>
      </c>
      <c r="E74" s="1" t="s">
        <v>549</v>
      </c>
      <c r="F74" s="1" t="s">
        <v>659</v>
      </c>
    </row>
    <row r="75" spans="1:6" x14ac:dyDescent="0.25">
      <c r="A75" s="1" t="s">
        <v>660</v>
      </c>
      <c r="B75" s="1" t="s">
        <v>661</v>
      </c>
      <c r="C75" s="1" t="s">
        <v>662</v>
      </c>
      <c r="D75" s="1" t="s">
        <v>663</v>
      </c>
      <c r="E75" s="1" t="s">
        <v>549</v>
      </c>
      <c r="F75" s="1" t="s">
        <v>664</v>
      </c>
    </row>
    <row r="76" spans="1:6" x14ac:dyDescent="0.25">
      <c r="A76" s="1" t="s">
        <v>665</v>
      </c>
      <c r="B76" s="1" t="s">
        <v>666</v>
      </c>
      <c r="C76" s="1" t="s">
        <v>667</v>
      </c>
      <c r="D76" s="1" t="s">
        <v>614</v>
      </c>
      <c r="E76" s="1" t="s">
        <v>109</v>
      </c>
      <c r="F76" s="1" t="s">
        <v>668</v>
      </c>
    </row>
    <row r="77" spans="1:6" x14ac:dyDescent="0.25">
      <c r="A77" s="1" t="s">
        <v>669</v>
      </c>
      <c r="B77" s="1" t="s">
        <v>670</v>
      </c>
      <c r="C77" s="1" t="s">
        <v>671</v>
      </c>
      <c r="D77" s="1" t="s">
        <v>494</v>
      </c>
      <c r="E77" s="1" t="s">
        <v>453</v>
      </c>
      <c r="F77" s="1" t="s">
        <v>672</v>
      </c>
    </row>
    <row r="78" spans="1:6" x14ac:dyDescent="0.25">
      <c r="A78" s="1" t="s">
        <v>673</v>
      </c>
      <c r="B78" s="1" t="s">
        <v>674</v>
      </c>
      <c r="C78" s="1" t="s">
        <v>675</v>
      </c>
      <c r="D78" s="1" t="s">
        <v>676</v>
      </c>
      <c r="E78" s="1" t="s">
        <v>41</v>
      </c>
      <c r="F78" s="1" t="s">
        <v>677</v>
      </c>
    </row>
    <row r="79" spans="1:6" x14ac:dyDescent="0.25">
      <c r="A79" s="1"/>
      <c r="B79" s="1"/>
      <c r="C79" s="1"/>
      <c r="D79" s="1"/>
      <c r="E79" s="1"/>
      <c r="F79" s="1"/>
    </row>
    <row r="80" spans="1:6" x14ac:dyDescent="0.25">
      <c r="A80" s="1"/>
      <c r="B80" s="1"/>
      <c r="C80" s="1"/>
      <c r="D80" s="1"/>
      <c r="E80" s="1"/>
      <c r="F80" s="1"/>
    </row>
    <row r="81" spans="1:6" x14ac:dyDescent="0.25">
      <c r="A81" s="1"/>
      <c r="B81" s="1"/>
      <c r="C81" s="1"/>
      <c r="D81" s="1"/>
      <c r="E81" s="1"/>
      <c r="F81" s="1"/>
    </row>
    <row r="82" spans="1:6" x14ac:dyDescent="0.25">
      <c r="A82" s="1"/>
      <c r="B82" s="1"/>
      <c r="C82" s="1"/>
      <c r="D82" s="1"/>
      <c r="E82" s="1"/>
      <c r="F82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3F2B-AAFB-434E-A3D2-B95744506A44}">
  <sheetPr codeName="Planilha5"/>
  <dimension ref="A1"/>
  <sheetViews>
    <sheetView showGridLines="0" zoomScale="177" workbookViewId="0">
      <selection activeCell="S23" sqref="S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8166-01E8-4C9B-83DB-F7D6A8B16230}">
  <dimension ref="A1:B98"/>
  <sheetViews>
    <sheetView topLeftCell="A78" zoomScale="93" workbookViewId="0">
      <selection activeCell="A60" sqref="A60"/>
    </sheetView>
  </sheetViews>
  <sheetFormatPr defaultRowHeight="15" x14ac:dyDescent="0.25"/>
  <cols>
    <col min="1" max="1" width="76.7109375" customWidth="1"/>
    <col min="2" max="2" width="13.7109375" bestFit="1" customWidth="1"/>
  </cols>
  <sheetData>
    <row r="1" spans="1:2" x14ac:dyDescent="0.25">
      <c r="A1" s="28" t="s">
        <v>691</v>
      </c>
      <c r="B1" t="s">
        <v>692</v>
      </c>
    </row>
    <row r="2" spans="1:2" x14ac:dyDescent="0.25">
      <c r="A2" s="20" t="s">
        <v>145</v>
      </c>
      <c r="B2" s="29">
        <v>334916</v>
      </c>
    </row>
    <row r="3" spans="1:2" x14ac:dyDescent="0.25">
      <c r="A3" s="30" t="s">
        <v>188</v>
      </c>
      <c r="B3" s="29">
        <v>18929</v>
      </c>
    </row>
    <row r="4" spans="1:2" x14ac:dyDescent="0.25">
      <c r="A4" s="30" t="s">
        <v>142</v>
      </c>
      <c r="B4" s="29">
        <v>31232</v>
      </c>
    </row>
    <row r="5" spans="1:2" x14ac:dyDescent="0.25">
      <c r="A5" s="30" t="s">
        <v>204</v>
      </c>
      <c r="B5" s="29">
        <v>18929</v>
      </c>
    </row>
    <row r="6" spans="1:2" x14ac:dyDescent="0.25">
      <c r="A6" s="30" t="s">
        <v>190</v>
      </c>
      <c r="B6" s="29">
        <v>18929</v>
      </c>
    </row>
    <row r="7" spans="1:2" x14ac:dyDescent="0.25">
      <c r="A7" s="30" t="s">
        <v>169</v>
      </c>
      <c r="B7" s="29">
        <v>12312</v>
      </c>
    </row>
    <row r="8" spans="1:2" x14ac:dyDescent="0.25">
      <c r="A8" s="30" t="s">
        <v>191</v>
      </c>
      <c r="B8" s="29">
        <v>1323</v>
      </c>
    </row>
    <row r="9" spans="1:2" x14ac:dyDescent="0.25">
      <c r="A9" s="30" t="s">
        <v>166</v>
      </c>
      <c r="B9" s="29">
        <v>32121</v>
      </c>
    </row>
    <row r="10" spans="1:2" x14ac:dyDescent="0.25">
      <c r="A10" s="30" t="s">
        <v>167</v>
      </c>
      <c r="B10" s="29">
        <v>40160</v>
      </c>
    </row>
    <row r="11" spans="1:2" x14ac:dyDescent="0.25">
      <c r="A11" s="30" t="s">
        <v>185</v>
      </c>
      <c r="B11" s="29">
        <v>18929</v>
      </c>
    </row>
    <row r="12" spans="1:2" x14ac:dyDescent="0.25">
      <c r="A12" s="30" t="s">
        <v>178</v>
      </c>
      <c r="B12" s="29">
        <v>123123</v>
      </c>
    </row>
    <row r="13" spans="1:2" x14ac:dyDescent="0.25">
      <c r="A13" s="30" t="s">
        <v>156</v>
      </c>
      <c r="B13" s="29">
        <v>18929</v>
      </c>
    </row>
    <row r="14" spans="1:2" x14ac:dyDescent="0.25">
      <c r="A14" s="20" t="s">
        <v>141</v>
      </c>
      <c r="B14" s="29">
        <v>395531</v>
      </c>
    </row>
    <row r="15" spans="1:2" x14ac:dyDescent="0.25">
      <c r="A15" s="30" t="s">
        <v>154</v>
      </c>
      <c r="B15" s="29">
        <v>18929</v>
      </c>
    </row>
    <row r="16" spans="1:2" x14ac:dyDescent="0.25">
      <c r="A16" s="30" t="s">
        <v>193</v>
      </c>
      <c r="B16" s="29">
        <v>18929</v>
      </c>
    </row>
    <row r="17" spans="1:2" x14ac:dyDescent="0.25">
      <c r="A17" s="30" t="s">
        <v>194</v>
      </c>
      <c r="B17" s="29">
        <v>18929</v>
      </c>
    </row>
    <row r="18" spans="1:2" x14ac:dyDescent="0.25">
      <c r="A18" s="30" t="s">
        <v>139</v>
      </c>
      <c r="B18" s="29">
        <v>18929</v>
      </c>
    </row>
    <row r="19" spans="1:2" x14ac:dyDescent="0.25">
      <c r="A19" s="30" t="s">
        <v>201</v>
      </c>
      <c r="B19" s="29">
        <v>18929</v>
      </c>
    </row>
    <row r="20" spans="1:2" x14ac:dyDescent="0.25">
      <c r="A20" s="30" t="s">
        <v>205</v>
      </c>
      <c r="B20" s="29">
        <v>32223</v>
      </c>
    </row>
    <row r="21" spans="1:2" x14ac:dyDescent="0.25">
      <c r="A21" s="30" t="s">
        <v>212</v>
      </c>
      <c r="B21" s="29">
        <v>32123</v>
      </c>
    </row>
    <row r="22" spans="1:2" x14ac:dyDescent="0.25">
      <c r="A22" s="30" t="s">
        <v>195</v>
      </c>
      <c r="B22" s="29">
        <v>4123</v>
      </c>
    </row>
    <row r="23" spans="1:2" x14ac:dyDescent="0.25">
      <c r="A23" s="30" t="s">
        <v>187</v>
      </c>
      <c r="B23" s="29">
        <v>18929</v>
      </c>
    </row>
    <row r="24" spans="1:2" x14ac:dyDescent="0.25">
      <c r="A24" s="30" t="s">
        <v>166</v>
      </c>
      <c r="B24" s="29">
        <v>50160</v>
      </c>
    </row>
    <row r="25" spans="1:2" x14ac:dyDescent="0.25">
      <c r="A25" s="30" t="s">
        <v>159</v>
      </c>
      <c r="B25" s="29">
        <v>12124</v>
      </c>
    </row>
    <row r="26" spans="1:2" x14ac:dyDescent="0.25">
      <c r="A26" s="30" t="s">
        <v>183</v>
      </c>
      <c r="B26" s="29">
        <v>18929</v>
      </c>
    </row>
    <row r="27" spans="1:2" x14ac:dyDescent="0.25">
      <c r="A27" s="30" t="s">
        <v>161</v>
      </c>
      <c r="B27" s="29">
        <v>18929</v>
      </c>
    </row>
    <row r="28" spans="1:2" x14ac:dyDescent="0.25">
      <c r="A28" s="30" t="s">
        <v>175</v>
      </c>
      <c r="B28" s="29">
        <v>53435</v>
      </c>
    </row>
    <row r="29" spans="1:2" x14ac:dyDescent="0.25">
      <c r="A29" s="30" t="s">
        <v>186</v>
      </c>
      <c r="B29" s="29">
        <v>18929</v>
      </c>
    </row>
    <row r="30" spans="1:2" x14ac:dyDescent="0.25">
      <c r="A30" s="30" t="s">
        <v>165</v>
      </c>
      <c r="B30" s="29">
        <v>18929</v>
      </c>
    </row>
    <row r="31" spans="1:2" x14ac:dyDescent="0.25">
      <c r="A31" s="30" t="s">
        <v>182</v>
      </c>
      <c r="B31" s="29">
        <v>18929</v>
      </c>
    </row>
    <row r="32" spans="1:2" x14ac:dyDescent="0.25">
      <c r="A32" s="30" t="s">
        <v>171</v>
      </c>
      <c r="B32" s="29">
        <v>3124</v>
      </c>
    </row>
    <row r="33" spans="1:2" x14ac:dyDescent="0.25">
      <c r="A33" s="20" t="s">
        <v>163</v>
      </c>
      <c r="B33" s="29">
        <v>913128</v>
      </c>
    </row>
    <row r="34" spans="1:2" x14ac:dyDescent="0.25">
      <c r="A34" s="30" t="s">
        <v>154</v>
      </c>
      <c r="B34" s="29">
        <v>12312</v>
      </c>
    </row>
    <row r="35" spans="1:2" x14ac:dyDescent="0.25">
      <c r="A35" s="30" t="s">
        <v>189</v>
      </c>
      <c r="B35" s="29">
        <v>18929</v>
      </c>
    </row>
    <row r="36" spans="1:2" x14ac:dyDescent="0.25">
      <c r="A36" s="30" t="s">
        <v>173</v>
      </c>
      <c r="B36" s="29">
        <v>18929</v>
      </c>
    </row>
    <row r="37" spans="1:2" x14ac:dyDescent="0.25">
      <c r="A37" s="30" t="s">
        <v>198</v>
      </c>
      <c r="B37" s="29">
        <v>3221</v>
      </c>
    </row>
    <row r="38" spans="1:2" x14ac:dyDescent="0.25">
      <c r="A38" s="30" t="s">
        <v>213</v>
      </c>
      <c r="B38" s="29">
        <v>18929</v>
      </c>
    </row>
    <row r="39" spans="1:2" x14ac:dyDescent="0.25">
      <c r="A39" s="30" t="s">
        <v>201</v>
      </c>
      <c r="B39" s="29">
        <v>123123</v>
      </c>
    </row>
    <row r="40" spans="1:2" x14ac:dyDescent="0.25">
      <c r="A40" s="30" t="s">
        <v>148</v>
      </c>
      <c r="B40" s="29">
        <v>4232</v>
      </c>
    </row>
    <row r="41" spans="1:2" x14ac:dyDescent="0.25">
      <c r="A41" s="30" t="s">
        <v>203</v>
      </c>
      <c r="B41" s="29">
        <v>18929</v>
      </c>
    </row>
    <row r="42" spans="1:2" x14ac:dyDescent="0.25">
      <c r="A42" s="30" t="s">
        <v>146</v>
      </c>
      <c r="B42" s="29">
        <v>18929</v>
      </c>
    </row>
    <row r="43" spans="1:2" x14ac:dyDescent="0.25">
      <c r="A43" s="30" t="s">
        <v>197</v>
      </c>
      <c r="B43" s="29">
        <v>1231</v>
      </c>
    </row>
    <row r="44" spans="1:2" x14ac:dyDescent="0.25">
      <c r="A44" s="30" t="s">
        <v>176</v>
      </c>
      <c r="B44" s="29">
        <v>269279</v>
      </c>
    </row>
    <row r="45" spans="1:2" x14ac:dyDescent="0.25">
      <c r="A45" s="30" t="s">
        <v>162</v>
      </c>
      <c r="B45" s="29">
        <v>18929</v>
      </c>
    </row>
    <row r="46" spans="1:2" x14ac:dyDescent="0.25">
      <c r="A46" s="30" t="s">
        <v>170</v>
      </c>
      <c r="B46" s="29">
        <v>18929</v>
      </c>
    </row>
    <row r="47" spans="1:2" x14ac:dyDescent="0.25">
      <c r="A47" s="30" t="s">
        <v>169</v>
      </c>
      <c r="B47" s="29">
        <v>18929</v>
      </c>
    </row>
    <row r="48" spans="1:2" x14ac:dyDescent="0.25">
      <c r="A48" s="30" t="s">
        <v>166</v>
      </c>
      <c r="B48" s="29">
        <v>23212</v>
      </c>
    </row>
    <row r="49" spans="1:2" x14ac:dyDescent="0.25">
      <c r="A49" s="30" t="s">
        <v>174</v>
      </c>
      <c r="B49" s="29">
        <v>18929</v>
      </c>
    </row>
    <row r="50" spans="1:2" x14ac:dyDescent="0.25">
      <c r="A50" s="30" t="s">
        <v>168</v>
      </c>
      <c r="B50" s="29">
        <v>412</v>
      </c>
    </row>
    <row r="51" spans="1:2" x14ac:dyDescent="0.25">
      <c r="A51" s="30" t="s">
        <v>158</v>
      </c>
      <c r="B51" s="29">
        <v>18929</v>
      </c>
    </row>
    <row r="52" spans="1:2" x14ac:dyDescent="0.25">
      <c r="A52" s="30" t="s">
        <v>207</v>
      </c>
      <c r="B52" s="29">
        <v>18929</v>
      </c>
    </row>
    <row r="53" spans="1:2" x14ac:dyDescent="0.25">
      <c r="A53" s="30" t="s">
        <v>178</v>
      </c>
      <c r="B53" s="29">
        <v>72382</v>
      </c>
    </row>
    <row r="54" spans="1:2" x14ac:dyDescent="0.25">
      <c r="A54" s="30" t="s">
        <v>177</v>
      </c>
      <c r="B54" s="29">
        <v>53453</v>
      </c>
    </row>
    <row r="55" spans="1:2" x14ac:dyDescent="0.25">
      <c r="A55" s="30" t="s">
        <v>182</v>
      </c>
      <c r="B55" s="29">
        <v>123123</v>
      </c>
    </row>
    <row r="56" spans="1:2" x14ac:dyDescent="0.25">
      <c r="A56" s="30" t="s">
        <v>200</v>
      </c>
      <c r="B56" s="29">
        <v>18929</v>
      </c>
    </row>
    <row r="57" spans="1:2" x14ac:dyDescent="0.25">
      <c r="A57" s="20" t="s">
        <v>147</v>
      </c>
      <c r="B57" s="29">
        <v>319866</v>
      </c>
    </row>
    <row r="58" spans="1:2" x14ac:dyDescent="0.25">
      <c r="A58" s="30" t="s">
        <v>679</v>
      </c>
      <c r="B58" s="29">
        <v>18929</v>
      </c>
    </row>
    <row r="59" spans="1:2" x14ac:dyDescent="0.25">
      <c r="A59" s="30" t="s">
        <v>154</v>
      </c>
      <c r="B59" s="29">
        <v>18929</v>
      </c>
    </row>
    <row r="60" spans="1:2" x14ac:dyDescent="0.25">
      <c r="A60" s="30" t="s">
        <v>189</v>
      </c>
      <c r="B60" s="29">
        <v>18929</v>
      </c>
    </row>
    <row r="61" spans="1:2" x14ac:dyDescent="0.25">
      <c r="A61" s="30" t="s">
        <v>139</v>
      </c>
      <c r="B61" s="29">
        <v>18929</v>
      </c>
    </row>
    <row r="62" spans="1:2" x14ac:dyDescent="0.25">
      <c r="A62" s="30" t="s">
        <v>180</v>
      </c>
      <c r="B62" s="29">
        <v>31241</v>
      </c>
    </row>
    <row r="63" spans="1:2" x14ac:dyDescent="0.25">
      <c r="A63" s="30" t="s">
        <v>146</v>
      </c>
      <c r="B63" s="29">
        <v>1231</v>
      </c>
    </row>
    <row r="64" spans="1:2" x14ac:dyDescent="0.25">
      <c r="A64" s="30" t="s">
        <v>195</v>
      </c>
      <c r="B64" s="29">
        <v>3242</v>
      </c>
    </row>
    <row r="65" spans="1:2" x14ac:dyDescent="0.25">
      <c r="A65" s="30" t="s">
        <v>162</v>
      </c>
      <c r="B65" s="29">
        <v>22052</v>
      </c>
    </row>
    <row r="66" spans="1:2" x14ac:dyDescent="0.25">
      <c r="A66" s="30" t="s">
        <v>170</v>
      </c>
      <c r="B66" s="29">
        <v>18929</v>
      </c>
    </row>
    <row r="67" spans="1:2" x14ac:dyDescent="0.25">
      <c r="A67" s="30" t="s">
        <v>184</v>
      </c>
      <c r="B67" s="29">
        <v>18929</v>
      </c>
    </row>
    <row r="68" spans="1:2" x14ac:dyDescent="0.25">
      <c r="A68" s="30" t="s">
        <v>133</v>
      </c>
      <c r="B68" s="29">
        <v>12323</v>
      </c>
    </row>
    <row r="69" spans="1:2" x14ac:dyDescent="0.25">
      <c r="A69" s="30" t="s">
        <v>151</v>
      </c>
      <c r="B69" s="29">
        <v>18929</v>
      </c>
    </row>
    <row r="70" spans="1:2" x14ac:dyDescent="0.25">
      <c r="A70" s="30" t="s">
        <v>192</v>
      </c>
      <c r="B70" s="29">
        <v>18929</v>
      </c>
    </row>
    <row r="71" spans="1:2" x14ac:dyDescent="0.25">
      <c r="A71" s="30" t="s">
        <v>168</v>
      </c>
      <c r="B71" s="29">
        <v>37858</v>
      </c>
    </row>
    <row r="72" spans="1:2" x14ac:dyDescent="0.25">
      <c r="A72" s="30" t="s">
        <v>158</v>
      </c>
      <c r="B72" s="29">
        <v>423</v>
      </c>
    </row>
    <row r="73" spans="1:2" x14ac:dyDescent="0.25">
      <c r="A73" s="30" t="s">
        <v>211</v>
      </c>
      <c r="B73" s="29">
        <v>18929</v>
      </c>
    </row>
    <row r="74" spans="1:2" x14ac:dyDescent="0.25">
      <c r="A74" s="30" t="s">
        <v>199</v>
      </c>
      <c r="B74" s="29">
        <v>432</v>
      </c>
    </row>
    <row r="75" spans="1:2" x14ac:dyDescent="0.25">
      <c r="A75" s="30" t="s">
        <v>208</v>
      </c>
      <c r="B75" s="29">
        <v>21231</v>
      </c>
    </row>
    <row r="76" spans="1:2" x14ac:dyDescent="0.25">
      <c r="A76" s="30" t="s">
        <v>164</v>
      </c>
      <c r="B76" s="29">
        <v>18929</v>
      </c>
    </row>
    <row r="77" spans="1:2" x14ac:dyDescent="0.25">
      <c r="A77" s="30" t="s">
        <v>171</v>
      </c>
      <c r="B77" s="29">
        <v>543</v>
      </c>
    </row>
    <row r="78" spans="1:2" x14ac:dyDescent="0.25">
      <c r="A78" s="20" t="s">
        <v>150</v>
      </c>
      <c r="B78" s="29">
        <v>428251</v>
      </c>
    </row>
    <row r="79" spans="1:2" x14ac:dyDescent="0.25">
      <c r="A79" s="30" t="s">
        <v>154</v>
      </c>
      <c r="B79" s="29">
        <v>18929</v>
      </c>
    </row>
    <row r="80" spans="1:2" x14ac:dyDescent="0.25">
      <c r="A80" s="30" t="s">
        <v>196</v>
      </c>
      <c r="B80" s="29">
        <v>3123</v>
      </c>
    </row>
    <row r="81" spans="1:2" x14ac:dyDescent="0.25">
      <c r="A81" s="30" t="s">
        <v>193</v>
      </c>
      <c r="B81" s="29">
        <v>18929</v>
      </c>
    </row>
    <row r="82" spans="1:2" x14ac:dyDescent="0.25">
      <c r="A82" s="30" t="s">
        <v>214</v>
      </c>
      <c r="B82" s="29">
        <v>41232</v>
      </c>
    </row>
    <row r="83" spans="1:2" x14ac:dyDescent="0.25">
      <c r="A83" s="30" t="s">
        <v>205</v>
      </c>
      <c r="B83" s="29">
        <v>31223</v>
      </c>
    </row>
    <row r="84" spans="1:2" x14ac:dyDescent="0.25">
      <c r="A84" s="30" t="s">
        <v>206</v>
      </c>
      <c r="B84" s="29">
        <v>12312</v>
      </c>
    </row>
    <row r="85" spans="1:2" x14ac:dyDescent="0.25">
      <c r="A85" s="30" t="s">
        <v>148</v>
      </c>
      <c r="B85" s="29">
        <v>8468</v>
      </c>
    </row>
    <row r="86" spans="1:2" x14ac:dyDescent="0.25">
      <c r="A86" s="30" t="s">
        <v>172</v>
      </c>
      <c r="B86" s="29">
        <v>18929</v>
      </c>
    </row>
    <row r="87" spans="1:2" x14ac:dyDescent="0.25">
      <c r="A87" s="30" t="s">
        <v>176</v>
      </c>
      <c r="B87" s="29">
        <v>21123</v>
      </c>
    </row>
    <row r="88" spans="1:2" x14ac:dyDescent="0.25">
      <c r="A88" s="30" t="s">
        <v>202</v>
      </c>
      <c r="B88" s="29">
        <v>18929</v>
      </c>
    </row>
    <row r="89" spans="1:2" x14ac:dyDescent="0.25">
      <c r="A89" s="30" t="s">
        <v>210</v>
      </c>
      <c r="B89" s="29">
        <v>18929</v>
      </c>
    </row>
    <row r="90" spans="1:2" x14ac:dyDescent="0.25">
      <c r="A90" s="30" t="s">
        <v>160</v>
      </c>
      <c r="B90" s="29">
        <v>18929</v>
      </c>
    </row>
    <row r="91" spans="1:2" x14ac:dyDescent="0.25">
      <c r="A91" s="30" t="s">
        <v>181</v>
      </c>
      <c r="B91" s="29">
        <v>18929</v>
      </c>
    </row>
    <row r="92" spans="1:2" x14ac:dyDescent="0.25">
      <c r="A92" s="30" t="s">
        <v>158</v>
      </c>
      <c r="B92" s="29">
        <v>18929</v>
      </c>
    </row>
    <row r="93" spans="1:2" x14ac:dyDescent="0.25">
      <c r="A93" s="30" t="s">
        <v>157</v>
      </c>
      <c r="B93" s="29">
        <v>18929</v>
      </c>
    </row>
    <row r="94" spans="1:2" x14ac:dyDescent="0.25">
      <c r="A94" s="30" t="s">
        <v>179</v>
      </c>
      <c r="B94" s="29">
        <v>53453</v>
      </c>
    </row>
    <row r="95" spans="1:2" x14ac:dyDescent="0.25">
      <c r="A95" s="30" t="s">
        <v>209</v>
      </c>
      <c r="B95" s="29">
        <v>21321</v>
      </c>
    </row>
    <row r="96" spans="1:2" x14ac:dyDescent="0.25">
      <c r="A96" s="30" t="s">
        <v>186</v>
      </c>
      <c r="B96" s="29">
        <v>21312</v>
      </c>
    </row>
    <row r="97" spans="1:2" x14ac:dyDescent="0.25">
      <c r="A97" s="30" t="s">
        <v>156</v>
      </c>
      <c r="B97" s="29">
        <v>44323</v>
      </c>
    </row>
    <row r="98" spans="1:2" x14ac:dyDescent="0.25">
      <c r="A98" s="20" t="s">
        <v>693</v>
      </c>
      <c r="B98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A1E08-8961-4369-9870-2F397D6F2952}">
  <dimension ref="A3:B161"/>
  <sheetViews>
    <sheetView topLeftCell="A136" zoomScale="72" zoomScaleNormal="175" workbookViewId="0">
      <selection activeCell="C2" sqref="C2"/>
    </sheetView>
  </sheetViews>
  <sheetFormatPr defaultRowHeight="15" x14ac:dyDescent="0.25"/>
  <cols>
    <col min="1" max="1" width="33.42578125" customWidth="1"/>
    <col min="2" max="2" width="23.42578125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20" t="s">
        <v>679</v>
      </c>
      <c r="B4" s="29">
        <v>18929</v>
      </c>
    </row>
    <row r="5" spans="1:2" x14ac:dyDescent="0.25">
      <c r="A5" s="30" t="s">
        <v>147</v>
      </c>
      <c r="B5" s="29">
        <v>18929</v>
      </c>
    </row>
    <row r="6" spans="1:2" x14ac:dyDescent="0.25">
      <c r="A6" s="20" t="s">
        <v>154</v>
      </c>
      <c r="B6" s="29">
        <v>69099</v>
      </c>
    </row>
    <row r="7" spans="1:2" x14ac:dyDescent="0.25">
      <c r="A7" s="30" t="s">
        <v>141</v>
      </c>
      <c r="B7" s="29">
        <v>18929</v>
      </c>
    </row>
    <row r="8" spans="1:2" x14ac:dyDescent="0.25">
      <c r="A8" s="30" t="s">
        <v>163</v>
      </c>
      <c r="B8" s="29">
        <v>12312</v>
      </c>
    </row>
    <row r="9" spans="1:2" x14ac:dyDescent="0.25">
      <c r="A9" s="30" t="s">
        <v>147</v>
      </c>
      <c r="B9" s="29">
        <v>18929</v>
      </c>
    </row>
    <row r="10" spans="1:2" x14ac:dyDescent="0.25">
      <c r="A10" s="30" t="s">
        <v>150</v>
      </c>
      <c r="B10" s="29">
        <v>18929</v>
      </c>
    </row>
    <row r="11" spans="1:2" x14ac:dyDescent="0.25">
      <c r="A11" s="20" t="s">
        <v>196</v>
      </c>
      <c r="B11" s="29">
        <v>3123</v>
      </c>
    </row>
    <row r="12" spans="1:2" x14ac:dyDescent="0.25">
      <c r="A12" s="30" t="s">
        <v>150</v>
      </c>
      <c r="B12" s="29">
        <v>3123</v>
      </c>
    </row>
    <row r="13" spans="1:2" x14ac:dyDescent="0.25">
      <c r="A13" s="20" t="s">
        <v>193</v>
      </c>
      <c r="B13" s="29">
        <v>37858</v>
      </c>
    </row>
    <row r="14" spans="1:2" x14ac:dyDescent="0.25">
      <c r="A14" s="30" t="s">
        <v>141</v>
      </c>
      <c r="B14" s="29">
        <v>18929</v>
      </c>
    </row>
    <row r="15" spans="1:2" x14ac:dyDescent="0.25">
      <c r="A15" s="30" t="s">
        <v>150</v>
      </c>
      <c r="B15" s="29">
        <v>18929</v>
      </c>
    </row>
    <row r="16" spans="1:2" x14ac:dyDescent="0.25">
      <c r="A16" s="20" t="s">
        <v>189</v>
      </c>
      <c r="B16" s="29">
        <v>37858</v>
      </c>
    </row>
    <row r="17" spans="1:2" x14ac:dyDescent="0.25">
      <c r="A17" s="30" t="s">
        <v>163</v>
      </c>
      <c r="B17" s="29">
        <v>18929</v>
      </c>
    </row>
    <row r="18" spans="1:2" x14ac:dyDescent="0.25">
      <c r="A18" s="30" t="s">
        <v>147</v>
      </c>
      <c r="B18" s="29">
        <v>18929</v>
      </c>
    </row>
    <row r="19" spans="1:2" x14ac:dyDescent="0.25">
      <c r="A19" s="20" t="s">
        <v>194</v>
      </c>
      <c r="B19" s="29">
        <v>18929</v>
      </c>
    </row>
    <row r="20" spans="1:2" x14ac:dyDescent="0.25">
      <c r="A20" s="30" t="s">
        <v>141</v>
      </c>
      <c r="B20" s="29">
        <v>18929</v>
      </c>
    </row>
    <row r="21" spans="1:2" x14ac:dyDescent="0.25">
      <c r="A21" s="20" t="s">
        <v>173</v>
      </c>
      <c r="B21" s="29">
        <v>18929</v>
      </c>
    </row>
    <row r="22" spans="1:2" x14ac:dyDescent="0.25">
      <c r="A22" s="30" t="s">
        <v>163</v>
      </c>
      <c r="B22" s="29">
        <v>18929</v>
      </c>
    </row>
    <row r="23" spans="1:2" x14ac:dyDescent="0.25">
      <c r="A23" s="20" t="s">
        <v>198</v>
      </c>
      <c r="B23" s="29">
        <v>3221</v>
      </c>
    </row>
    <row r="24" spans="1:2" x14ac:dyDescent="0.25">
      <c r="A24" s="30" t="s">
        <v>163</v>
      </c>
      <c r="B24" s="29">
        <v>3221</v>
      </c>
    </row>
    <row r="25" spans="1:2" x14ac:dyDescent="0.25">
      <c r="A25" s="20" t="s">
        <v>188</v>
      </c>
      <c r="B25" s="29">
        <v>18929</v>
      </c>
    </row>
    <row r="26" spans="1:2" x14ac:dyDescent="0.25">
      <c r="A26" s="30" t="s">
        <v>145</v>
      </c>
      <c r="B26" s="29">
        <v>18929</v>
      </c>
    </row>
    <row r="27" spans="1:2" x14ac:dyDescent="0.25">
      <c r="A27" s="20" t="s">
        <v>213</v>
      </c>
      <c r="B27" s="29">
        <v>18929</v>
      </c>
    </row>
    <row r="28" spans="1:2" x14ac:dyDescent="0.25">
      <c r="A28" s="30" t="s">
        <v>163</v>
      </c>
      <c r="B28" s="29">
        <v>18929</v>
      </c>
    </row>
    <row r="29" spans="1:2" x14ac:dyDescent="0.25">
      <c r="A29" s="20" t="s">
        <v>139</v>
      </c>
      <c r="B29" s="29">
        <v>37858</v>
      </c>
    </row>
    <row r="30" spans="1:2" x14ac:dyDescent="0.25">
      <c r="A30" s="30" t="s">
        <v>141</v>
      </c>
      <c r="B30" s="29">
        <v>18929</v>
      </c>
    </row>
    <row r="31" spans="1:2" x14ac:dyDescent="0.25">
      <c r="A31" s="30" t="s">
        <v>147</v>
      </c>
      <c r="B31" s="29">
        <v>18929</v>
      </c>
    </row>
    <row r="32" spans="1:2" x14ac:dyDescent="0.25">
      <c r="A32" s="20" t="s">
        <v>214</v>
      </c>
      <c r="B32" s="29">
        <v>41232</v>
      </c>
    </row>
    <row r="33" spans="1:2" x14ac:dyDescent="0.25">
      <c r="A33" s="30" t="s">
        <v>150</v>
      </c>
      <c r="B33" s="29">
        <v>41232</v>
      </c>
    </row>
    <row r="34" spans="1:2" x14ac:dyDescent="0.25">
      <c r="A34" s="20" t="s">
        <v>201</v>
      </c>
      <c r="B34" s="29">
        <v>142052</v>
      </c>
    </row>
    <row r="35" spans="1:2" x14ac:dyDescent="0.25">
      <c r="A35" s="30" t="s">
        <v>141</v>
      </c>
      <c r="B35" s="29">
        <v>18929</v>
      </c>
    </row>
    <row r="36" spans="1:2" x14ac:dyDescent="0.25">
      <c r="A36" s="30" t="s">
        <v>163</v>
      </c>
      <c r="B36" s="29">
        <v>123123</v>
      </c>
    </row>
    <row r="37" spans="1:2" x14ac:dyDescent="0.25">
      <c r="A37" s="20" t="s">
        <v>180</v>
      </c>
      <c r="B37" s="29">
        <v>31241</v>
      </c>
    </row>
    <row r="38" spans="1:2" x14ac:dyDescent="0.25">
      <c r="A38" s="30" t="s">
        <v>147</v>
      </c>
      <c r="B38" s="29">
        <v>31241</v>
      </c>
    </row>
    <row r="39" spans="1:2" x14ac:dyDescent="0.25">
      <c r="A39" s="20" t="s">
        <v>205</v>
      </c>
      <c r="B39" s="29">
        <v>63446</v>
      </c>
    </row>
    <row r="40" spans="1:2" x14ac:dyDescent="0.25">
      <c r="A40" s="30" t="s">
        <v>141</v>
      </c>
      <c r="B40" s="29">
        <v>32223</v>
      </c>
    </row>
    <row r="41" spans="1:2" x14ac:dyDescent="0.25">
      <c r="A41" s="30" t="s">
        <v>150</v>
      </c>
      <c r="B41" s="29">
        <v>31223</v>
      </c>
    </row>
    <row r="42" spans="1:2" x14ac:dyDescent="0.25">
      <c r="A42" s="20" t="s">
        <v>206</v>
      </c>
      <c r="B42" s="29">
        <v>12312</v>
      </c>
    </row>
    <row r="43" spans="1:2" x14ac:dyDescent="0.25">
      <c r="A43" s="30" t="s">
        <v>150</v>
      </c>
      <c r="B43" s="29">
        <v>12312</v>
      </c>
    </row>
    <row r="44" spans="1:2" x14ac:dyDescent="0.25">
      <c r="A44" s="20" t="s">
        <v>148</v>
      </c>
      <c r="B44" s="29">
        <v>12700</v>
      </c>
    </row>
    <row r="45" spans="1:2" x14ac:dyDescent="0.25">
      <c r="A45" s="30" t="s">
        <v>163</v>
      </c>
      <c r="B45" s="29">
        <v>4232</v>
      </c>
    </row>
    <row r="46" spans="1:2" x14ac:dyDescent="0.25">
      <c r="A46" s="30" t="s">
        <v>150</v>
      </c>
      <c r="B46" s="29">
        <v>8468</v>
      </c>
    </row>
    <row r="47" spans="1:2" x14ac:dyDescent="0.25">
      <c r="A47" s="20" t="s">
        <v>172</v>
      </c>
      <c r="B47" s="29">
        <v>18929</v>
      </c>
    </row>
    <row r="48" spans="1:2" x14ac:dyDescent="0.25">
      <c r="A48" s="30" t="s">
        <v>150</v>
      </c>
      <c r="B48" s="29">
        <v>18929</v>
      </c>
    </row>
    <row r="49" spans="1:2" x14ac:dyDescent="0.25">
      <c r="A49" s="20" t="s">
        <v>142</v>
      </c>
      <c r="B49" s="29">
        <v>31232</v>
      </c>
    </row>
    <row r="50" spans="1:2" x14ac:dyDescent="0.25">
      <c r="A50" s="30" t="s">
        <v>145</v>
      </c>
      <c r="B50" s="29">
        <v>31232</v>
      </c>
    </row>
    <row r="51" spans="1:2" x14ac:dyDescent="0.25">
      <c r="A51" s="20" t="s">
        <v>203</v>
      </c>
      <c r="B51" s="29">
        <v>18929</v>
      </c>
    </row>
    <row r="52" spans="1:2" x14ac:dyDescent="0.25">
      <c r="A52" s="30" t="s">
        <v>163</v>
      </c>
      <c r="B52" s="29">
        <v>18929</v>
      </c>
    </row>
    <row r="53" spans="1:2" x14ac:dyDescent="0.25">
      <c r="A53" s="20" t="s">
        <v>146</v>
      </c>
      <c r="B53" s="29">
        <v>20160</v>
      </c>
    </row>
    <row r="54" spans="1:2" x14ac:dyDescent="0.25">
      <c r="A54" s="30" t="s">
        <v>163</v>
      </c>
      <c r="B54" s="29">
        <v>18929</v>
      </c>
    </row>
    <row r="55" spans="1:2" x14ac:dyDescent="0.25">
      <c r="A55" s="30" t="s">
        <v>147</v>
      </c>
      <c r="B55" s="29">
        <v>1231</v>
      </c>
    </row>
    <row r="56" spans="1:2" x14ac:dyDescent="0.25">
      <c r="A56" s="20" t="s">
        <v>212</v>
      </c>
      <c r="B56" s="29">
        <v>32123</v>
      </c>
    </row>
    <row r="57" spans="1:2" x14ac:dyDescent="0.25">
      <c r="A57" s="30" t="s">
        <v>141</v>
      </c>
      <c r="B57" s="29">
        <v>32123</v>
      </c>
    </row>
    <row r="58" spans="1:2" x14ac:dyDescent="0.25">
      <c r="A58" s="20" t="s">
        <v>197</v>
      </c>
      <c r="B58" s="29">
        <v>1231</v>
      </c>
    </row>
    <row r="59" spans="1:2" x14ac:dyDescent="0.25">
      <c r="A59" s="30" t="s">
        <v>163</v>
      </c>
      <c r="B59" s="29">
        <v>1231</v>
      </c>
    </row>
    <row r="60" spans="1:2" x14ac:dyDescent="0.25">
      <c r="A60" s="20" t="s">
        <v>195</v>
      </c>
      <c r="B60" s="29">
        <v>7365</v>
      </c>
    </row>
    <row r="61" spans="1:2" x14ac:dyDescent="0.25">
      <c r="A61" s="30" t="s">
        <v>141</v>
      </c>
      <c r="B61" s="29">
        <v>4123</v>
      </c>
    </row>
    <row r="62" spans="1:2" x14ac:dyDescent="0.25">
      <c r="A62" s="30" t="s">
        <v>147</v>
      </c>
      <c r="B62" s="29">
        <v>3242</v>
      </c>
    </row>
    <row r="63" spans="1:2" x14ac:dyDescent="0.25">
      <c r="A63" s="20" t="s">
        <v>204</v>
      </c>
      <c r="B63" s="29">
        <v>18929</v>
      </c>
    </row>
    <row r="64" spans="1:2" x14ac:dyDescent="0.25">
      <c r="A64" s="30" t="s">
        <v>145</v>
      </c>
      <c r="B64" s="29">
        <v>18929</v>
      </c>
    </row>
    <row r="65" spans="1:2" x14ac:dyDescent="0.25">
      <c r="A65" s="20" t="s">
        <v>176</v>
      </c>
      <c r="B65" s="29">
        <v>290402</v>
      </c>
    </row>
    <row r="66" spans="1:2" x14ac:dyDescent="0.25">
      <c r="A66" s="30" t="s">
        <v>163</v>
      </c>
      <c r="B66" s="29">
        <v>269279</v>
      </c>
    </row>
    <row r="67" spans="1:2" x14ac:dyDescent="0.25">
      <c r="A67" s="30" t="s">
        <v>150</v>
      </c>
      <c r="B67" s="29">
        <v>21123</v>
      </c>
    </row>
    <row r="68" spans="1:2" x14ac:dyDescent="0.25">
      <c r="A68" s="20" t="s">
        <v>202</v>
      </c>
      <c r="B68" s="29">
        <v>18929</v>
      </c>
    </row>
    <row r="69" spans="1:2" x14ac:dyDescent="0.25">
      <c r="A69" s="30" t="s">
        <v>150</v>
      </c>
      <c r="B69" s="29">
        <v>18929</v>
      </c>
    </row>
    <row r="70" spans="1:2" x14ac:dyDescent="0.25">
      <c r="A70" s="20" t="s">
        <v>162</v>
      </c>
      <c r="B70" s="29">
        <v>40981</v>
      </c>
    </row>
    <row r="71" spans="1:2" x14ac:dyDescent="0.25">
      <c r="A71" s="30" t="s">
        <v>163</v>
      </c>
      <c r="B71" s="29">
        <v>18929</v>
      </c>
    </row>
    <row r="72" spans="1:2" x14ac:dyDescent="0.25">
      <c r="A72" s="30" t="s">
        <v>147</v>
      </c>
      <c r="B72" s="29">
        <v>22052</v>
      </c>
    </row>
    <row r="73" spans="1:2" x14ac:dyDescent="0.25">
      <c r="A73" s="20" t="s">
        <v>190</v>
      </c>
      <c r="B73" s="29">
        <v>18929</v>
      </c>
    </row>
    <row r="74" spans="1:2" x14ac:dyDescent="0.25">
      <c r="A74" s="30" t="s">
        <v>145</v>
      </c>
      <c r="B74" s="29">
        <v>18929</v>
      </c>
    </row>
    <row r="75" spans="1:2" x14ac:dyDescent="0.25">
      <c r="A75" s="20" t="s">
        <v>187</v>
      </c>
      <c r="B75" s="29">
        <v>18929</v>
      </c>
    </row>
    <row r="76" spans="1:2" x14ac:dyDescent="0.25">
      <c r="A76" s="30" t="s">
        <v>141</v>
      </c>
      <c r="B76" s="29">
        <v>18929</v>
      </c>
    </row>
    <row r="77" spans="1:2" x14ac:dyDescent="0.25">
      <c r="A77" s="20" t="s">
        <v>170</v>
      </c>
      <c r="B77" s="29">
        <v>37858</v>
      </c>
    </row>
    <row r="78" spans="1:2" x14ac:dyDescent="0.25">
      <c r="A78" s="30" t="s">
        <v>163</v>
      </c>
      <c r="B78" s="29">
        <v>18929</v>
      </c>
    </row>
    <row r="79" spans="1:2" x14ac:dyDescent="0.25">
      <c r="A79" s="30" t="s">
        <v>147</v>
      </c>
      <c r="B79" s="29">
        <v>18929</v>
      </c>
    </row>
    <row r="80" spans="1:2" x14ac:dyDescent="0.25">
      <c r="A80" s="20" t="s">
        <v>169</v>
      </c>
      <c r="B80" s="29">
        <v>31241</v>
      </c>
    </row>
    <row r="81" spans="1:2" x14ac:dyDescent="0.25">
      <c r="A81" s="30" t="s">
        <v>145</v>
      </c>
      <c r="B81" s="29">
        <v>12312</v>
      </c>
    </row>
    <row r="82" spans="1:2" x14ac:dyDescent="0.25">
      <c r="A82" s="30" t="s">
        <v>163</v>
      </c>
      <c r="B82" s="29">
        <v>18929</v>
      </c>
    </row>
    <row r="83" spans="1:2" x14ac:dyDescent="0.25">
      <c r="A83" s="20" t="s">
        <v>191</v>
      </c>
      <c r="B83" s="29">
        <v>1323</v>
      </c>
    </row>
    <row r="84" spans="1:2" x14ac:dyDescent="0.25">
      <c r="A84" s="30" t="s">
        <v>145</v>
      </c>
      <c r="B84" s="29">
        <v>1323</v>
      </c>
    </row>
    <row r="85" spans="1:2" x14ac:dyDescent="0.25">
      <c r="A85" s="20" t="s">
        <v>166</v>
      </c>
      <c r="B85" s="29">
        <v>105493</v>
      </c>
    </row>
    <row r="86" spans="1:2" x14ac:dyDescent="0.25">
      <c r="A86" s="30" t="s">
        <v>145</v>
      </c>
      <c r="B86" s="29">
        <v>32121</v>
      </c>
    </row>
    <row r="87" spans="1:2" x14ac:dyDescent="0.25">
      <c r="A87" s="30" t="s">
        <v>141</v>
      </c>
      <c r="B87" s="29">
        <v>50160</v>
      </c>
    </row>
    <row r="88" spans="1:2" x14ac:dyDescent="0.25">
      <c r="A88" s="30" t="s">
        <v>163</v>
      </c>
      <c r="B88" s="29">
        <v>23212</v>
      </c>
    </row>
    <row r="89" spans="1:2" x14ac:dyDescent="0.25">
      <c r="A89" s="20" t="s">
        <v>210</v>
      </c>
      <c r="B89" s="29">
        <v>18929</v>
      </c>
    </row>
    <row r="90" spans="1:2" x14ac:dyDescent="0.25">
      <c r="A90" s="30" t="s">
        <v>150</v>
      </c>
      <c r="B90" s="29">
        <v>18929</v>
      </c>
    </row>
    <row r="91" spans="1:2" x14ac:dyDescent="0.25">
      <c r="A91" s="20" t="s">
        <v>184</v>
      </c>
      <c r="B91" s="29">
        <v>18929</v>
      </c>
    </row>
    <row r="92" spans="1:2" x14ac:dyDescent="0.25">
      <c r="A92" s="30" t="s">
        <v>147</v>
      </c>
      <c r="B92" s="29">
        <v>18929</v>
      </c>
    </row>
    <row r="93" spans="1:2" x14ac:dyDescent="0.25">
      <c r="A93" s="20" t="s">
        <v>159</v>
      </c>
      <c r="B93" s="29">
        <v>12124</v>
      </c>
    </row>
    <row r="94" spans="1:2" x14ac:dyDescent="0.25">
      <c r="A94" s="30" t="s">
        <v>141</v>
      </c>
      <c r="B94" s="29">
        <v>12124</v>
      </c>
    </row>
    <row r="95" spans="1:2" x14ac:dyDescent="0.25">
      <c r="A95" s="20" t="s">
        <v>174</v>
      </c>
      <c r="B95" s="29">
        <v>18929</v>
      </c>
    </row>
    <row r="96" spans="1:2" x14ac:dyDescent="0.25">
      <c r="A96" s="30" t="s">
        <v>163</v>
      </c>
      <c r="B96" s="29">
        <v>18929</v>
      </c>
    </row>
    <row r="97" spans="1:2" x14ac:dyDescent="0.25">
      <c r="A97" s="20" t="s">
        <v>133</v>
      </c>
      <c r="B97" s="29">
        <v>12323</v>
      </c>
    </row>
    <row r="98" spans="1:2" x14ac:dyDescent="0.25">
      <c r="A98" s="30" t="s">
        <v>147</v>
      </c>
      <c r="B98" s="29">
        <v>12323</v>
      </c>
    </row>
    <row r="99" spans="1:2" x14ac:dyDescent="0.25">
      <c r="A99" s="20" t="s">
        <v>183</v>
      </c>
      <c r="B99" s="29">
        <v>18929</v>
      </c>
    </row>
    <row r="100" spans="1:2" x14ac:dyDescent="0.25">
      <c r="A100" s="30" t="s">
        <v>141</v>
      </c>
      <c r="B100" s="29">
        <v>18929</v>
      </c>
    </row>
    <row r="101" spans="1:2" x14ac:dyDescent="0.25">
      <c r="A101" s="20" t="s">
        <v>151</v>
      </c>
      <c r="B101" s="29">
        <v>18929</v>
      </c>
    </row>
    <row r="102" spans="1:2" x14ac:dyDescent="0.25">
      <c r="A102" s="30" t="s">
        <v>147</v>
      </c>
      <c r="B102" s="29">
        <v>18929</v>
      </c>
    </row>
    <row r="103" spans="1:2" x14ac:dyDescent="0.25">
      <c r="A103" s="20" t="s">
        <v>192</v>
      </c>
      <c r="B103" s="29">
        <v>18929</v>
      </c>
    </row>
    <row r="104" spans="1:2" x14ac:dyDescent="0.25">
      <c r="A104" s="30" t="s">
        <v>147</v>
      </c>
      <c r="B104" s="29">
        <v>18929</v>
      </c>
    </row>
    <row r="105" spans="1:2" x14ac:dyDescent="0.25">
      <c r="A105" s="20" t="s">
        <v>160</v>
      </c>
      <c r="B105" s="29">
        <v>18929</v>
      </c>
    </row>
    <row r="106" spans="1:2" x14ac:dyDescent="0.25">
      <c r="A106" s="30" t="s">
        <v>150</v>
      </c>
      <c r="B106" s="29">
        <v>18929</v>
      </c>
    </row>
    <row r="107" spans="1:2" x14ac:dyDescent="0.25">
      <c r="A107" s="20" t="s">
        <v>168</v>
      </c>
      <c r="B107" s="29">
        <v>38270</v>
      </c>
    </row>
    <row r="108" spans="1:2" x14ac:dyDescent="0.25">
      <c r="A108" s="30" t="s">
        <v>163</v>
      </c>
      <c r="B108" s="29">
        <v>412</v>
      </c>
    </row>
    <row r="109" spans="1:2" x14ac:dyDescent="0.25">
      <c r="A109" s="30" t="s">
        <v>147</v>
      </c>
      <c r="B109" s="29">
        <v>37858</v>
      </c>
    </row>
    <row r="110" spans="1:2" x14ac:dyDescent="0.25">
      <c r="A110" s="20" t="s">
        <v>181</v>
      </c>
      <c r="B110" s="29">
        <v>18929</v>
      </c>
    </row>
    <row r="111" spans="1:2" x14ac:dyDescent="0.25">
      <c r="A111" s="30" t="s">
        <v>150</v>
      </c>
      <c r="B111" s="29">
        <v>18929</v>
      </c>
    </row>
    <row r="112" spans="1:2" x14ac:dyDescent="0.25">
      <c r="A112" s="20" t="s">
        <v>167</v>
      </c>
      <c r="B112" s="29">
        <v>40160</v>
      </c>
    </row>
    <row r="113" spans="1:2" x14ac:dyDescent="0.25">
      <c r="A113" s="30" t="s">
        <v>145</v>
      </c>
      <c r="B113" s="29">
        <v>40160</v>
      </c>
    </row>
    <row r="114" spans="1:2" x14ac:dyDescent="0.25">
      <c r="A114" s="20" t="s">
        <v>158</v>
      </c>
      <c r="B114" s="29">
        <v>38281</v>
      </c>
    </row>
    <row r="115" spans="1:2" x14ac:dyDescent="0.25">
      <c r="A115" s="30" t="s">
        <v>163</v>
      </c>
      <c r="B115" s="29">
        <v>18929</v>
      </c>
    </row>
    <row r="116" spans="1:2" x14ac:dyDescent="0.25">
      <c r="A116" s="30" t="s">
        <v>147</v>
      </c>
      <c r="B116" s="29">
        <v>423</v>
      </c>
    </row>
    <row r="117" spans="1:2" x14ac:dyDescent="0.25">
      <c r="A117" s="30" t="s">
        <v>150</v>
      </c>
      <c r="B117" s="29">
        <v>18929</v>
      </c>
    </row>
    <row r="118" spans="1:2" x14ac:dyDescent="0.25">
      <c r="A118" s="20" t="s">
        <v>211</v>
      </c>
      <c r="B118" s="29">
        <v>18929</v>
      </c>
    </row>
    <row r="119" spans="1:2" x14ac:dyDescent="0.25">
      <c r="A119" s="30" t="s">
        <v>147</v>
      </c>
      <c r="B119" s="29">
        <v>18929</v>
      </c>
    </row>
    <row r="120" spans="1:2" x14ac:dyDescent="0.25">
      <c r="A120" s="20" t="s">
        <v>199</v>
      </c>
      <c r="B120" s="29">
        <v>432</v>
      </c>
    </row>
    <row r="121" spans="1:2" x14ac:dyDescent="0.25">
      <c r="A121" s="30" t="s">
        <v>147</v>
      </c>
      <c r="B121" s="29">
        <v>432</v>
      </c>
    </row>
    <row r="122" spans="1:2" x14ac:dyDescent="0.25">
      <c r="A122" s="20" t="s">
        <v>157</v>
      </c>
      <c r="B122" s="29">
        <v>18929</v>
      </c>
    </row>
    <row r="123" spans="1:2" x14ac:dyDescent="0.25">
      <c r="A123" s="30" t="s">
        <v>150</v>
      </c>
      <c r="B123" s="29">
        <v>18929</v>
      </c>
    </row>
    <row r="124" spans="1:2" x14ac:dyDescent="0.25">
      <c r="A124" s="20" t="s">
        <v>161</v>
      </c>
      <c r="B124" s="29">
        <v>18929</v>
      </c>
    </row>
    <row r="125" spans="1:2" x14ac:dyDescent="0.25">
      <c r="A125" s="30" t="s">
        <v>141</v>
      </c>
      <c r="B125" s="29">
        <v>18929</v>
      </c>
    </row>
    <row r="126" spans="1:2" x14ac:dyDescent="0.25">
      <c r="A126" s="20" t="s">
        <v>179</v>
      </c>
      <c r="B126" s="29">
        <v>53453</v>
      </c>
    </row>
    <row r="127" spans="1:2" x14ac:dyDescent="0.25">
      <c r="A127" s="30" t="s">
        <v>150</v>
      </c>
      <c r="B127" s="29">
        <v>53453</v>
      </c>
    </row>
    <row r="128" spans="1:2" x14ac:dyDescent="0.25">
      <c r="A128" s="20" t="s">
        <v>185</v>
      </c>
      <c r="B128" s="29">
        <v>18929</v>
      </c>
    </row>
    <row r="129" spans="1:2" x14ac:dyDescent="0.25">
      <c r="A129" s="30" t="s">
        <v>145</v>
      </c>
      <c r="B129" s="29">
        <v>18929</v>
      </c>
    </row>
    <row r="130" spans="1:2" x14ac:dyDescent="0.25">
      <c r="A130" s="20" t="s">
        <v>175</v>
      </c>
      <c r="B130" s="29">
        <v>53435</v>
      </c>
    </row>
    <row r="131" spans="1:2" x14ac:dyDescent="0.25">
      <c r="A131" s="30" t="s">
        <v>141</v>
      </c>
      <c r="B131" s="29">
        <v>53435</v>
      </c>
    </row>
    <row r="132" spans="1:2" x14ac:dyDescent="0.25">
      <c r="A132" s="20" t="s">
        <v>208</v>
      </c>
      <c r="B132" s="29">
        <v>21231</v>
      </c>
    </row>
    <row r="133" spans="1:2" x14ac:dyDescent="0.25">
      <c r="A133" s="30" t="s">
        <v>147</v>
      </c>
      <c r="B133" s="29">
        <v>21231</v>
      </c>
    </row>
    <row r="134" spans="1:2" x14ac:dyDescent="0.25">
      <c r="A134" s="20" t="s">
        <v>209</v>
      </c>
      <c r="B134" s="29">
        <v>21321</v>
      </c>
    </row>
    <row r="135" spans="1:2" x14ac:dyDescent="0.25">
      <c r="A135" s="30" t="s">
        <v>150</v>
      </c>
      <c r="B135" s="29">
        <v>21321</v>
      </c>
    </row>
    <row r="136" spans="1:2" x14ac:dyDescent="0.25">
      <c r="A136" s="20" t="s">
        <v>164</v>
      </c>
      <c r="B136" s="29">
        <v>18929</v>
      </c>
    </row>
    <row r="137" spans="1:2" x14ac:dyDescent="0.25">
      <c r="A137" s="30" t="s">
        <v>147</v>
      </c>
      <c r="B137" s="29">
        <v>18929</v>
      </c>
    </row>
    <row r="138" spans="1:2" x14ac:dyDescent="0.25">
      <c r="A138" s="20" t="s">
        <v>207</v>
      </c>
      <c r="B138" s="29">
        <v>18929</v>
      </c>
    </row>
    <row r="139" spans="1:2" x14ac:dyDescent="0.25">
      <c r="A139" s="30" t="s">
        <v>163</v>
      </c>
      <c r="B139" s="29">
        <v>18929</v>
      </c>
    </row>
    <row r="140" spans="1:2" x14ac:dyDescent="0.25">
      <c r="A140" s="20" t="s">
        <v>186</v>
      </c>
      <c r="B140" s="29">
        <v>40241</v>
      </c>
    </row>
    <row r="141" spans="1:2" x14ac:dyDescent="0.25">
      <c r="A141" s="30" t="s">
        <v>141</v>
      </c>
      <c r="B141" s="29">
        <v>18929</v>
      </c>
    </row>
    <row r="142" spans="1:2" x14ac:dyDescent="0.25">
      <c r="A142" s="30" t="s">
        <v>150</v>
      </c>
      <c r="B142" s="29">
        <v>21312</v>
      </c>
    </row>
    <row r="143" spans="1:2" x14ac:dyDescent="0.25">
      <c r="A143" s="20" t="s">
        <v>165</v>
      </c>
      <c r="B143" s="29">
        <v>18929</v>
      </c>
    </row>
    <row r="144" spans="1:2" x14ac:dyDescent="0.25">
      <c r="A144" s="30" t="s">
        <v>141</v>
      </c>
      <c r="B144" s="29">
        <v>18929</v>
      </c>
    </row>
    <row r="145" spans="1:2" x14ac:dyDescent="0.25">
      <c r="A145" s="20" t="s">
        <v>178</v>
      </c>
      <c r="B145" s="29">
        <v>195505</v>
      </c>
    </row>
    <row r="146" spans="1:2" x14ac:dyDescent="0.25">
      <c r="A146" s="30" t="s">
        <v>145</v>
      </c>
      <c r="B146" s="29">
        <v>123123</v>
      </c>
    </row>
    <row r="147" spans="1:2" x14ac:dyDescent="0.25">
      <c r="A147" s="30" t="s">
        <v>163</v>
      </c>
      <c r="B147" s="29">
        <v>72382</v>
      </c>
    </row>
    <row r="148" spans="1:2" x14ac:dyDescent="0.25">
      <c r="A148" s="20" t="s">
        <v>156</v>
      </c>
      <c r="B148" s="29">
        <v>63252</v>
      </c>
    </row>
    <row r="149" spans="1:2" x14ac:dyDescent="0.25">
      <c r="A149" s="30" t="s">
        <v>145</v>
      </c>
      <c r="B149" s="29">
        <v>18929</v>
      </c>
    </row>
    <row r="150" spans="1:2" x14ac:dyDescent="0.25">
      <c r="A150" s="30" t="s">
        <v>150</v>
      </c>
      <c r="B150" s="29">
        <v>44323</v>
      </c>
    </row>
    <row r="151" spans="1:2" x14ac:dyDescent="0.25">
      <c r="A151" s="20" t="s">
        <v>177</v>
      </c>
      <c r="B151" s="29">
        <v>53453</v>
      </c>
    </row>
    <row r="152" spans="1:2" x14ac:dyDescent="0.25">
      <c r="A152" s="30" t="s">
        <v>163</v>
      </c>
      <c r="B152" s="29">
        <v>53453</v>
      </c>
    </row>
    <row r="153" spans="1:2" x14ac:dyDescent="0.25">
      <c r="A153" s="20" t="s">
        <v>182</v>
      </c>
      <c r="B153" s="29">
        <v>142052</v>
      </c>
    </row>
    <row r="154" spans="1:2" x14ac:dyDescent="0.25">
      <c r="A154" s="30" t="s">
        <v>141</v>
      </c>
      <c r="B154" s="29">
        <v>18929</v>
      </c>
    </row>
    <row r="155" spans="1:2" x14ac:dyDescent="0.25">
      <c r="A155" s="30" t="s">
        <v>163</v>
      </c>
      <c r="B155" s="29">
        <v>123123</v>
      </c>
    </row>
    <row r="156" spans="1:2" x14ac:dyDescent="0.25">
      <c r="A156" s="20" t="s">
        <v>171</v>
      </c>
      <c r="B156" s="29">
        <v>3667</v>
      </c>
    </row>
    <row r="157" spans="1:2" x14ac:dyDescent="0.25">
      <c r="A157" s="30" t="s">
        <v>141</v>
      </c>
      <c r="B157" s="29">
        <v>3124</v>
      </c>
    </row>
    <row r="158" spans="1:2" x14ac:dyDescent="0.25">
      <c r="A158" s="30" t="s">
        <v>147</v>
      </c>
      <c r="B158" s="29">
        <v>543</v>
      </c>
    </row>
    <row r="159" spans="1:2" x14ac:dyDescent="0.25">
      <c r="A159" s="20" t="s">
        <v>200</v>
      </c>
      <c r="B159" s="29">
        <v>18929</v>
      </c>
    </row>
    <row r="160" spans="1:2" x14ac:dyDescent="0.25">
      <c r="A160" s="30" t="s">
        <v>163</v>
      </c>
      <c r="B160" s="29">
        <v>18929</v>
      </c>
    </row>
    <row r="161" spans="1:2" x14ac:dyDescent="0.25">
      <c r="A161" s="20" t="s">
        <v>693</v>
      </c>
      <c r="B161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47A42-BC7E-4409-9631-A1F92EB6ADE1}">
  <dimension ref="A3:B76"/>
  <sheetViews>
    <sheetView topLeftCell="I24" zoomScale="137" workbookViewId="0">
      <selection activeCell="N67" sqref="N67"/>
    </sheetView>
  </sheetViews>
  <sheetFormatPr defaultRowHeight="15" x14ac:dyDescent="0.25"/>
  <cols>
    <col min="1" max="1" width="24.5703125" bestFit="1" customWidth="1"/>
    <col min="2" max="2" width="13.7109375" bestFit="1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20" t="s">
        <v>126</v>
      </c>
      <c r="B4" s="29">
        <v>1695403</v>
      </c>
    </row>
    <row r="5" spans="1:2" x14ac:dyDescent="0.25">
      <c r="A5" s="30" t="s">
        <v>679</v>
      </c>
      <c r="B5" s="29">
        <v>18929</v>
      </c>
    </row>
    <row r="6" spans="1:2" x14ac:dyDescent="0.25">
      <c r="A6" s="30" t="s">
        <v>154</v>
      </c>
      <c r="B6" s="29">
        <v>69099</v>
      </c>
    </row>
    <row r="7" spans="1:2" x14ac:dyDescent="0.25">
      <c r="A7" s="30" t="s">
        <v>193</v>
      </c>
      <c r="B7" s="29">
        <v>37858</v>
      </c>
    </row>
    <row r="8" spans="1:2" x14ac:dyDescent="0.25">
      <c r="A8" s="30" t="s">
        <v>194</v>
      </c>
      <c r="B8" s="29">
        <v>18929</v>
      </c>
    </row>
    <row r="9" spans="1:2" x14ac:dyDescent="0.25">
      <c r="A9" s="30" t="s">
        <v>173</v>
      </c>
      <c r="B9" s="29">
        <v>18929</v>
      </c>
    </row>
    <row r="10" spans="1:2" x14ac:dyDescent="0.25">
      <c r="A10" s="30" t="s">
        <v>198</v>
      </c>
      <c r="B10" s="29">
        <v>3221</v>
      </c>
    </row>
    <row r="11" spans="1:2" x14ac:dyDescent="0.25">
      <c r="A11" s="30" t="s">
        <v>188</v>
      </c>
      <c r="B11" s="29">
        <v>18929</v>
      </c>
    </row>
    <row r="12" spans="1:2" x14ac:dyDescent="0.25">
      <c r="A12" s="30" t="s">
        <v>213</v>
      </c>
      <c r="B12" s="29">
        <v>18929</v>
      </c>
    </row>
    <row r="13" spans="1:2" x14ac:dyDescent="0.25">
      <c r="A13" s="30" t="s">
        <v>139</v>
      </c>
      <c r="B13" s="29">
        <v>37858</v>
      </c>
    </row>
    <row r="14" spans="1:2" x14ac:dyDescent="0.25">
      <c r="A14" s="30" t="s">
        <v>201</v>
      </c>
      <c r="B14" s="29">
        <v>142052</v>
      </c>
    </row>
    <row r="15" spans="1:2" x14ac:dyDescent="0.25">
      <c r="A15" s="30" t="s">
        <v>180</v>
      </c>
      <c r="B15" s="29">
        <v>31241</v>
      </c>
    </row>
    <row r="16" spans="1:2" x14ac:dyDescent="0.25">
      <c r="A16" s="30" t="s">
        <v>148</v>
      </c>
      <c r="B16" s="29">
        <v>12700</v>
      </c>
    </row>
    <row r="17" spans="1:2" x14ac:dyDescent="0.25">
      <c r="A17" s="30" t="s">
        <v>172</v>
      </c>
      <c r="B17" s="29">
        <v>18929</v>
      </c>
    </row>
    <row r="18" spans="1:2" x14ac:dyDescent="0.25">
      <c r="A18" s="30" t="s">
        <v>212</v>
      </c>
      <c r="B18" s="29">
        <v>32123</v>
      </c>
    </row>
    <row r="19" spans="1:2" x14ac:dyDescent="0.25">
      <c r="A19" s="30" t="s">
        <v>195</v>
      </c>
      <c r="B19" s="29">
        <v>7365</v>
      </c>
    </row>
    <row r="20" spans="1:2" x14ac:dyDescent="0.25">
      <c r="A20" s="30" t="s">
        <v>176</v>
      </c>
      <c r="B20" s="29">
        <v>290402</v>
      </c>
    </row>
    <row r="21" spans="1:2" x14ac:dyDescent="0.25">
      <c r="A21" s="30" t="s">
        <v>162</v>
      </c>
      <c r="B21" s="29">
        <v>40981</v>
      </c>
    </row>
    <row r="22" spans="1:2" x14ac:dyDescent="0.25">
      <c r="A22" s="30" t="s">
        <v>190</v>
      </c>
      <c r="B22" s="29">
        <v>18929</v>
      </c>
    </row>
    <row r="23" spans="1:2" x14ac:dyDescent="0.25">
      <c r="A23" s="30" t="s">
        <v>187</v>
      </c>
      <c r="B23" s="29">
        <v>18929</v>
      </c>
    </row>
    <row r="24" spans="1:2" x14ac:dyDescent="0.25">
      <c r="A24" s="30" t="s">
        <v>170</v>
      </c>
      <c r="B24" s="29">
        <v>37858</v>
      </c>
    </row>
    <row r="25" spans="1:2" x14ac:dyDescent="0.25">
      <c r="A25" s="30" t="s">
        <v>191</v>
      </c>
      <c r="B25" s="29">
        <v>1323</v>
      </c>
    </row>
    <row r="26" spans="1:2" x14ac:dyDescent="0.25">
      <c r="A26" s="30" t="s">
        <v>210</v>
      </c>
      <c r="B26" s="29">
        <v>18929</v>
      </c>
    </row>
    <row r="27" spans="1:2" x14ac:dyDescent="0.25">
      <c r="A27" s="30" t="s">
        <v>184</v>
      </c>
      <c r="B27" s="29">
        <v>18929</v>
      </c>
    </row>
    <row r="28" spans="1:2" x14ac:dyDescent="0.25">
      <c r="A28" s="30" t="s">
        <v>159</v>
      </c>
      <c r="B28" s="29">
        <v>12124</v>
      </c>
    </row>
    <row r="29" spans="1:2" x14ac:dyDescent="0.25">
      <c r="A29" s="30" t="s">
        <v>174</v>
      </c>
      <c r="B29" s="29">
        <v>18929</v>
      </c>
    </row>
    <row r="30" spans="1:2" x14ac:dyDescent="0.25">
      <c r="A30" s="30" t="s">
        <v>133</v>
      </c>
      <c r="B30" s="29">
        <v>12323</v>
      </c>
    </row>
    <row r="31" spans="1:2" x14ac:dyDescent="0.25">
      <c r="A31" s="30" t="s">
        <v>183</v>
      </c>
      <c r="B31" s="29">
        <v>18929</v>
      </c>
    </row>
    <row r="32" spans="1:2" x14ac:dyDescent="0.25">
      <c r="A32" s="30" t="s">
        <v>151</v>
      </c>
      <c r="B32" s="29">
        <v>18929</v>
      </c>
    </row>
    <row r="33" spans="1:2" x14ac:dyDescent="0.25">
      <c r="A33" s="30" t="s">
        <v>192</v>
      </c>
      <c r="B33" s="29">
        <v>18929</v>
      </c>
    </row>
    <row r="34" spans="1:2" x14ac:dyDescent="0.25">
      <c r="A34" s="30" t="s">
        <v>160</v>
      </c>
      <c r="B34" s="29">
        <v>18929</v>
      </c>
    </row>
    <row r="35" spans="1:2" x14ac:dyDescent="0.25">
      <c r="A35" s="30" t="s">
        <v>168</v>
      </c>
      <c r="B35" s="29">
        <v>38270</v>
      </c>
    </row>
    <row r="36" spans="1:2" x14ac:dyDescent="0.25">
      <c r="A36" s="30" t="s">
        <v>167</v>
      </c>
      <c r="B36" s="29">
        <v>40160</v>
      </c>
    </row>
    <row r="37" spans="1:2" x14ac:dyDescent="0.25">
      <c r="A37" s="30" t="s">
        <v>199</v>
      </c>
      <c r="B37" s="29">
        <v>432</v>
      </c>
    </row>
    <row r="38" spans="1:2" x14ac:dyDescent="0.25">
      <c r="A38" s="30" t="s">
        <v>157</v>
      </c>
      <c r="B38" s="29">
        <v>18929</v>
      </c>
    </row>
    <row r="39" spans="1:2" x14ac:dyDescent="0.25">
      <c r="A39" s="30" t="s">
        <v>161</v>
      </c>
      <c r="B39" s="29">
        <v>18929</v>
      </c>
    </row>
    <row r="40" spans="1:2" x14ac:dyDescent="0.25">
      <c r="A40" s="30" t="s">
        <v>179</v>
      </c>
      <c r="B40" s="29">
        <v>53453</v>
      </c>
    </row>
    <row r="41" spans="1:2" x14ac:dyDescent="0.25">
      <c r="A41" s="30" t="s">
        <v>185</v>
      </c>
      <c r="B41" s="29">
        <v>18929</v>
      </c>
    </row>
    <row r="42" spans="1:2" x14ac:dyDescent="0.25">
      <c r="A42" s="30" t="s">
        <v>175</v>
      </c>
      <c r="B42" s="29">
        <v>53435</v>
      </c>
    </row>
    <row r="43" spans="1:2" x14ac:dyDescent="0.25">
      <c r="A43" s="30" t="s">
        <v>209</v>
      </c>
      <c r="B43" s="29">
        <v>21321</v>
      </c>
    </row>
    <row r="44" spans="1:2" x14ac:dyDescent="0.25">
      <c r="A44" s="30" t="s">
        <v>186</v>
      </c>
      <c r="B44" s="29">
        <v>18929</v>
      </c>
    </row>
    <row r="45" spans="1:2" x14ac:dyDescent="0.25">
      <c r="A45" s="30" t="s">
        <v>165</v>
      </c>
      <c r="B45" s="29">
        <v>18929</v>
      </c>
    </row>
    <row r="46" spans="1:2" x14ac:dyDescent="0.25">
      <c r="A46" s="30" t="s">
        <v>178</v>
      </c>
      <c r="B46" s="29">
        <v>195505</v>
      </c>
    </row>
    <row r="47" spans="1:2" x14ac:dyDescent="0.25">
      <c r="A47" s="30" t="s">
        <v>182</v>
      </c>
      <c r="B47" s="29">
        <v>142052</v>
      </c>
    </row>
    <row r="48" spans="1:2" x14ac:dyDescent="0.25">
      <c r="A48" s="30" t="s">
        <v>171</v>
      </c>
      <c r="B48" s="29">
        <v>3667</v>
      </c>
    </row>
    <row r="49" spans="1:2" x14ac:dyDescent="0.25">
      <c r="A49" s="20" t="s">
        <v>136</v>
      </c>
      <c r="B49" s="29">
        <v>419589</v>
      </c>
    </row>
    <row r="50" spans="1:2" x14ac:dyDescent="0.25">
      <c r="A50" s="30" t="s">
        <v>214</v>
      </c>
      <c r="B50" s="29">
        <v>41232</v>
      </c>
    </row>
    <row r="51" spans="1:2" x14ac:dyDescent="0.25">
      <c r="A51" s="30" t="s">
        <v>205</v>
      </c>
      <c r="B51" s="29">
        <v>63446</v>
      </c>
    </row>
    <row r="52" spans="1:2" x14ac:dyDescent="0.25">
      <c r="A52" s="30" t="s">
        <v>169</v>
      </c>
      <c r="B52" s="29">
        <v>31241</v>
      </c>
    </row>
    <row r="53" spans="1:2" x14ac:dyDescent="0.25">
      <c r="A53" s="30" t="s">
        <v>166</v>
      </c>
      <c r="B53" s="29">
        <v>105493</v>
      </c>
    </row>
    <row r="54" spans="1:2" x14ac:dyDescent="0.25">
      <c r="A54" s="30" t="s">
        <v>211</v>
      </c>
      <c r="B54" s="29">
        <v>18929</v>
      </c>
    </row>
    <row r="55" spans="1:2" x14ac:dyDescent="0.25">
      <c r="A55" s="30" t="s">
        <v>208</v>
      </c>
      <c r="B55" s="29">
        <v>21231</v>
      </c>
    </row>
    <row r="56" spans="1:2" x14ac:dyDescent="0.25">
      <c r="A56" s="30" t="s">
        <v>186</v>
      </c>
      <c r="B56" s="29">
        <v>21312</v>
      </c>
    </row>
    <row r="57" spans="1:2" x14ac:dyDescent="0.25">
      <c r="A57" s="30" t="s">
        <v>156</v>
      </c>
      <c r="B57" s="29">
        <v>63252</v>
      </c>
    </row>
    <row r="58" spans="1:2" x14ac:dyDescent="0.25">
      <c r="A58" s="30" t="s">
        <v>177</v>
      </c>
      <c r="B58" s="29">
        <v>53453</v>
      </c>
    </row>
    <row r="59" spans="1:2" x14ac:dyDescent="0.25">
      <c r="A59" s="20" t="s">
        <v>138</v>
      </c>
      <c r="B59" s="29">
        <v>238842</v>
      </c>
    </row>
    <row r="60" spans="1:2" x14ac:dyDescent="0.25">
      <c r="A60" s="30" t="s">
        <v>196</v>
      </c>
      <c r="B60" s="29">
        <v>3123</v>
      </c>
    </row>
    <row r="61" spans="1:2" x14ac:dyDescent="0.25">
      <c r="A61" s="30" t="s">
        <v>189</v>
      </c>
      <c r="B61" s="29">
        <v>37858</v>
      </c>
    </row>
    <row r="62" spans="1:2" x14ac:dyDescent="0.25">
      <c r="A62" s="30" t="s">
        <v>206</v>
      </c>
      <c r="B62" s="29">
        <v>12312</v>
      </c>
    </row>
    <row r="63" spans="1:2" x14ac:dyDescent="0.25">
      <c r="A63" s="30" t="s">
        <v>142</v>
      </c>
      <c r="B63" s="29">
        <v>31232</v>
      </c>
    </row>
    <row r="64" spans="1:2" x14ac:dyDescent="0.25">
      <c r="A64" s="30" t="s">
        <v>203</v>
      </c>
      <c r="B64" s="29">
        <v>18929</v>
      </c>
    </row>
    <row r="65" spans="1:2" x14ac:dyDescent="0.25">
      <c r="A65" s="30" t="s">
        <v>146</v>
      </c>
      <c r="B65" s="29">
        <v>20160</v>
      </c>
    </row>
    <row r="66" spans="1:2" x14ac:dyDescent="0.25">
      <c r="A66" s="30" t="s">
        <v>197</v>
      </c>
      <c r="B66" s="29">
        <v>1231</v>
      </c>
    </row>
    <row r="67" spans="1:2" x14ac:dyDescent="0.25">
      <c r="A67" s="30" t="s">
        <v>204</v>
      </c>
      <c r="B67" s="29">
        <v>18929</v>
      </c>
    </row>
    <row r="68" spans="1:2" x14ac:dyDescent="0.25">
      <c r="A68" s="30" t="s">
        <v>181</v>
      </c>
      <c r="B68" s="29">
        <v>18929</v>
      </c>
    </row>
    <row r="69" spans="1:2" x14ac:dyDescent="0.25">
      <c r="A69" s="30" t="s">
        <v>158</v>
      </c>
      <c r="B69" s="29">
        <v>38281</v>
      </c>
    </row>
    <row r="70" spans="1:2" x14ac:dyDescent="0.25">
      <c r="A70" s="30" t="s">
        <v>164</v>
      </c>
      <c r="B70" s="29">
        <v>18929</v>
      </c>
    </row>
    <row r="71" spans="1:2" x14ac:dyDescent="0.25">
      <c r="A71" s="30" t="s">
        <v>207</v>
      </c>
      <c r="B71" s="29">
        <v>18929</v>
      </c>
    </row>
    <row r="72" spans="1:2" x14ac:dyDescent="0.25">
      <c r="A72" s="20" t="s">
        <v>137</v>
      </c>
      <c r="B72" s="29">
        <v>18929</v>
      </c>
    </row>
    <row r="73" spans="1:2" x14ac:dyDescent="0.25">
      <c r="A73" s="30" t="s">
        <v>200</v>
      </c>
      <c r="B73" s="29">
        <v>18929</v>
      </c>
    </row>
    <row r="74" spans="1:2" x14ac:dyDescent="0.25">
      <c r="A74" s="20" t="s">
        <v>152</v>
      </c>
      <c r="B74" s="29">
        <v>18929</v>
      </c>
    </row>
    <row r="75" spans="1:2" x14ac:dyDescent="0.25">
      <c r="A75" s="30" t="s">
        <v>202</v>
      </c>
      <c r="B75" s="29">
        <v>18929</v>
      </c>
    </row>
    <row r="76" spans="1:2" x14ac:dyDescent="0.25">
      <c r="A76" s="20" t="s">
        <v>693</v>
      </c>
      <c r="B76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1A4A3-2AC2-41CE-AA16-B49CC2A90147}">
  <dimension ref="A3:B137"/>
  <sheetViews>
    <sheetView topLeftCell="A120" zoomScale="71" zoomScaleNormal="12" workbookViewId="0">
      <selection activeCell="I146" sqref="I146"/>
    </sheetView>
  </sheetViews>
  <sheetFormatPr defaultRowHeight="15" x14ac:dyDescent="0.25"/>
  <cols>
    <col min="1" max="1" width="22.42578125" bestFit="1" customWidth="1"/>
    <col min="2" max="2" width="18.5703125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20" t="s">
        <v>679</v>
      </c>
      <c r="B4" s="29">
        <v>18929</v>
      </c>
    </row>
    <row r="5" spans="1:2" x14ac:dyDescent="0.25">
      <c r="A5" s="30" t="s">
        <v>126</v>
      </c>
      <c r="B5" s="29">
        <v>18929</v>
      </c>
    </row>
    <row r="6" spans="1:2" x14ac:dyDescent="0.25">
      <c r="A6" s="20" t="s">
        <v>154</v>
      </c>
      <c r="B6" s="29">
        <v>69099</v>
      </c>
    </row>
    <row r="7" spans="1:2" x14ac:dyDescent="0.25">
      <c r="A7" s="30" t="s">
        <v>126</v>
      </c>
      <c r="B7" s="29">
        <v>69099</v>
      </c>
    </row>
    <row r="8" spans="1:2" x14ac:dyDescent="0.25">
      <c r="A8" s="20" t="s">
        <v>196</v>
      </c>
      <c r="B8" s="29">
        <v>3123</v>
      </c>
    </row>
    <row r="9" spans="1:2" x14ac:dyDescent="0.25">
      <c r="A9" s="30" t="s">
        <v>138</v>
      </c>
      <c r="B9" s="29">
        <v>3123</v>
      </c>
    </row>
    <row r="10" spans="1:2" x14ac:dyDescent="0.25">
      <c r="A10" s="20" t="s">
        <v>193</v>
      </c>
      <c r="B10" s="29">
        <v>37858</v>
      </c>
    </row>
    <row r="11" spans="1:2" x14ac:dyDescent="0.25">
      <c r="A11" s="30" t="s">
        <v>126</v>
      </c>
      <c r="B11" s="29">
        <v>37858</v>
      </c>
    </row>
    <row r="12" spans="1:2" x14ac:dyDescent="0.25">
      <c r="A12" s="20" t="s">
        <v>189</v>
      </c>
      <c r="B12" s="29">
        <v>37858</v>
      </c>
    </row>
    <row r="13" spans="1:2" x14ac:dyDescent="0.25">
      <c r="A13" s="30" t="s">
        <v>138</v>
      </c>
      <c r="B13" s="29">
        <v>37858</v>
      </c>
    </row>
    <row r="14" spans="1:2" x14ac:dyDescent="0.25">
      <c r="A14" s="20" t="s">
        <v>194</v>
      </c>
      <c r="B14" s="29">
        <v>18929</v>
      </c>
    </row>
    <row r="15" spans="1:2" x14ac:dyDescent="0.25">
      <c r="A15" s="30" t="s">
        <v>126</v>
      </c>
      <c r="B15" s="29">
        <v>18929</v>
      </c>
    </row>
    <row r="16" spans="1:2" x14ac:dyDescent="0.25">
      <c r="A16" s="20" t="s">
        <v>173</v>
      </c>
      <c r="B16" s="29">
        <v>18929</v>
      </c>
    </row>
    <row r="17" spans="1:2" x14ac:dyDescent="0.25">
      <c r="A17" s="30" t="s">
        <v>126</v>
      </c>
      <c r="B17" s="29">
        <v>18929</v>
      </c>
    </row>
    <row r="18" spans="1:2" x14ac:dyDescent="0.25">
      <c r="A18" s="20" t="s">
        <v>198</v>
      </c>
      <c r="B18" s="29">
        <v>3221</v>
      </c>
    </row>
    <row r="19" spans="1:2" x14ac:dyDescent="0.25">
      <c r="A19" s="30" t="s">
        <v>126</v>
      </c>
      <c r="B19" s="29">
        <v>3221</v>
      </c>
    </row>
    <row r="20" spans="1:2" x14ac:dyDescent="0.25">
      <c r="A20" s="20" t="s">
        <v>188</v>
      </c>
      <c r="B20" s="29">
        <v>18929</v>
      </c>
    </row>
    <row r="21" spans="1:2" x14ac:dyDescent="0.25">
      <c r="A21" s="30" t="s">
        <v>126</v>
      </c>
      <c r="B21" s="29">
        <v>18929</v>
      </c>
    </row>
    <row r="22" spans="1:2" x14ac:dyDescent="0.25">
      <c r="A22" s="20" t="s">
        <v>213</v>
      </c>
      <c r="B22" s="29">
        <v>18929</v>
      </c>
    </row>
    <row r="23" spans="1:2" x14ac:dyDescent="0.25">
      <c r="A23" s="30" t="s">
        <v>126</v>
      </c>
      <c r="B23" s="29">
        <v>18929</v>
      </c>
    </row>
    <row r="24" spans="1:2" x14ac:dyDescent="0.25">
      <c r="A24" s="20" t="s">
        <v>139</v>
      </c>
      <c r="B24" s="29">
        <v>37858</v>
      </c>
    </row>
    <row r="25" spans="1:2" x14ac:dyDescent="0.25">
      <c r="A25" s="30" t="s">
        <v>126</v>
      </c>
      <c r="B25" s="29">
        <v>37858</v>
      </c>
    </row>
    <row r="26" spans="1:2" x14ac:dyDescent="0.25">
      <c r="A26" s="20" t="s">
        <v>214</v>
      </c>
      <c r="B26" s="29">
        <v>41232</v>
      </c>
    </row>
    <row r="27" spans="1:2" x14ac:dyDescent="0.25">
      <c r="A27" s="30" t="s">
        <v>136</v>
      </c>
      <c r="B27" s="29">
        <v>41232</v>
      </c>
    </row>
    <row r="28" spans="1:2" x14ac:dyDescent="0.25">
      <c r="A28" s="20" t="s">
        <v>201</v>
      </c>
      <c r="B28" s="29">
        <v>142052</v>
      </c>
    </row>
    <row r="29" spans="1:2" x14ac:dyDescent="0.25">
      <c r="A29" s="30" t="s">
        <v>126</v>
      </c>
      <c r="B29" s="29">
        <v>142052</v>
      </c>
    </row>
    <row r="30" spans="1:2" x14ac:dyDescent="0.25">
      <c r="A30" s="20" t="s">
        <v>180</v>
      </c>
      <c r="B30" s="29">
        <v>31241</v>
      </c>
    </row>
    <row r="31" spans="1:2" x14ac:dyDescent="0.25">
      <c r="A31" s="30" t="s">
        <v>126</v>
      </c>
      <c r="B31" s="29">
        <v>31241</v>
      </c>
    </row>
    <row r="32" spans="1:2" x14ac:dyDescent="0.25">
      <c r="A32" s="20" t="s">
        <v>205</v>
      </c>
      <c r="B32" s="29">
        <v>63446</v>
      </c>
    </row>
    <row r="33" spans="1:2" x14ac:dyDescent="0.25">
      <c r="A33" s="30" t="s">
        <v>136</v>
      </c>
      <c r="B33" s="29">
        <v>63446</v>
      </c>
    </row>
    <row r="34" spans="1:2" x14ac:dyDescent="0.25">
      <c r="A34" s="20" t="s">
        <v>206</v>
      </c>
      <c r="B34" s="29">
        <v>12312</v>
      </c>
    </row>
    <row r="35" spans="1:2" x14ac:dyDescent="0.25">
      <c r="A35" s="30" t="s">
        <v>138</v>
      </c>
      <c r="B35" s="29">
        <v>12312</v>
      </c>
    </row>
    <row r="36" spans="1:2" x14ac:dyDescent="0.25">
      <c r="A36" s="20" t="s">
        <v>148</v>
      </c>
      <c r="B36" s="29">
        <v>12700</v>
      </c>
    </row>
    <row r="37" spans="1:2" x14ac:dyDescent="0.25">
      <c r="A37" s="30" t="s">
        <v>126</v>
      </c>
      <c r="B37" s="29">
        <v>12700</v>
      </c>
    </row>
    <row r="38" spans="1:2" x14ac:dyDescent="0.25">
      <c r="A38" s="20" t="s">
        <v>172</v>
      </c>
      <c r="B38" s="29">
        <v>18929</v>
      </c>
    </row>
    <row r="39" spans="1:2" x14ac:dyDescent="0.25">
      <c r="A39" s="30" t="s">
        <v>126</v>
      </c>
      <c r="B39" s="29">
        <v>18929</v>
      </c>
    </row>
    <row r="40" spans="1:2" x14ac:dyDescent="0.25">
      <c r="A40" s="20" t="s">
        <v>142</v>
      </c>
      <c r="B40" s="29">
        <v>31232</v>
      </c>
    </row>
    <row r="41" spans="1:2" x14ac:dyDescent="0.25">
      <c r="A41" s="30" t="s">
        <v>138</v>
      </c>
      <c r="B41" s="29">
        <v>31232</v>
      </c>
    </row>
    <row r="42" spans="1:2" x14ac:dyDescent="0.25">
      <c r="A42" s="20" t="s">
        <v>203</v>
      </c>
      <c r="B42" s="29">
        <v>18929</v>
      </c>
    </row>
    <row r="43" spans="1:2" x14ac:dyDescent="0.25">
      <c r="A43" s="30" t="s">
        <v>138</v>
      </c>
      <c r="B43" s="29">
        <v>18929</v>
      </c>
    </row>
    <row r="44" spans="1:2" x14ac:dyDescent="0.25">
      <c r="A44" s="20" t="s">
        <v>146</v>
      </c>
      <c r="B44" s="29">
        <v>20160</v>
      </c>
    </row>
    <row r="45" spans="1:2" x14ac:dyDescent="0.25">
      <c r="A45" s="30" t="s">
        <v>138</v>
      </c>
      <c r="B45" s="29">
        <v>20160</v>
      </c>
    </row>
    <row r="46" spans="1:2" x14ac:dyDescent="0.25">
      <c r="A46" s="20" t="s">
        <v>212</v>
      </c>
      <c r="B46" s="29">
        <v>32123</v>
      </c>
    </row>
    <row r="47" spans="1:2" x14ac:dyDescent="0.25">
      <c r="A47" s="30" t="s">
        <v>126</v>
      </c>
      <c r="B47" s="29">
        <v>32123</v>
      </c>
    </row>
    <row r="48" spans="1:2" x14ac:dyDescent="0.25">
      <c r="A48" s="20" t="s">
        <v>197</v>
      </c>
      <c r="B48" s="29">
        <v>1231</v>
      </c>
    </row>
    <row r="49" spans="1:2" x14ac:dyDescent="0.25">
      <c r="A49" s="30" t="s">
        <v>138</v>
      </c>
      <c r="B49" s="29">
        <v>1231</v>
      </c>
    </row>
    <row r="50" spans="1:2" x14ac:dyDescent="0.25">
      <c r="A50" s="20" t="s">
        <v>195</v>
      </c>
      <c r="B50" s="29">
        <v>7365</v>
      </c>
    </row>
    <row r="51" spans="1:2" x14ac:dyDescent="0.25">
      <c r="A51" s="30" t="s">
        <v>126</v>
      </c>
      <c r="B51" s="29">
        <v>7365</v>
      </c>
    </row>
    <row r="52" spans="1:2" x14ac:dyDescent="0.25">
      <c r="A52" s="20" t="s">
        <v>204</v>
      </c>
      <c r="B52" s="29">
        <v>18929</v>
      </c>
    </row>
    <row r="53" spans="1:2" x14ac:dyDescent="0.25">
      <c r="A53" s="30" t="s">
        <v>138</v>
      </c>
      <c r="B53" s="29">
        <v>18929</v>
      </c>
    </row>
    <row r="54" spans="1:2" x14ac:dyDescent="0.25">
      <c r="A54" s="20" t="s">
        <v>176</v>
      </c>
      <c r="B54" s="29">
        <v>290402</v>
      </c>
    </row>
    <row r="55" spans="1:2" x14ac:dyDescent="0.25">
      <c r="A55" s="30" t="s">
        <v>126</v>
      </c>
      <c r="B55" s="29">
        <v>290402</v>
      </c>
    </row>
    <row r="56" spans="1:2" x14ac:dyDescent="0.25">
      <c r="A56" s="20" t="s">
        <v>202</v>
      </c>
      <c r="B56" s="29">
        <v>18929</v>
      </c>
    </row>
    <row r="57" spans="1:2" x14ac:dyDescent="0.25">
      <c r="A57" s="30" t="s">
        <v>152</v>
      </c>
      <c r="B57" s="29">
        <v>18929</v>
      </c>
    </row>
    <row r="58" spans="1:2" x14ac:dyDescent="0.25">
      <c r="A58" s="20" t="s">
        <v>162</v>
      </c>
      <c r="B58" s="29">
        <v>40981</v>
      </c>
    </row>
    <row r="59" spans="1:2" x14ac:dyDescent="0.25">
      <c r="A59" s="30" t="s">
        <v>126</v>
      </c>
      <c r="B59" s="29">
        <v>40981</v>
      </c>
    </row>
    <row r="60" spans="1:2" x14ac:dyDescent="0.25">
      <c r="A60" s="20" t="s">
        <v>190</v>
      </c>
      <c r="B60" s="29">
        <v>18929</v>
      </c>
    </row>
    <row r="61" spans="1:2" x14ac:dyDescent="0.25">
      <c r="A61" s="30" t="s">
        <v>126</v>
      </c>
      <c r="B61" s="29">
        <v>18929</v>
      </c>
    </row>
    <row r="62" spans="1:2" x14ac:dyDescent="0.25">
      <c r="A62" s="20" t="s">
        <v>187</v>
      </c>
      <c r="B62" s="29">
        <v>18929</v>
      </c>
    </row>
    <row r="63" spans="1:2" x14ac:dyDescent="0.25">
      <c r="A63" s="30" t="s">
        <v>126</v>
      </c>
      <c r="B63" s="29">
        <v>18929</v>
      </c>
    </row>
    <row r="64" spans="1:2" x14ac:dyDescent="0.25">
      <c r="A64" s="20" t="s">
        <v>170</v>
      </c>
      <c r="B64" s="29">
        <v>37858</v>
      </c>
    </row>
    <row r="65" spans="1:2" x14ac:dyDescent="0.25">
      <c r="A65" s="30" t="s">
        <v>126</v>
      </c>
      <c r="B65" s="29">
        <v>37858</v>
      </c>
    </row>
    <row r="66" spans="1:2" x14ac:dyDescent="0.25">
      <c r="A66" s="20" t="s">
        <v>169</v>
      </c>
      <c r="B66" s="29">
        <v>31241</v>
      </c>
    </row>
    <row r="67" spans="1:2" x14ac:dyDescent="0.25">
      <c r="A67" s="30" t="s">
        <v>136</v>
      </c>
      <c r="B67" s="29">
        <v>31241</v>
      </c>
    </row>
    <row r="68" spans="1:2" x14ac:dyDescent="0.25">
      <c r="A68" s="20" t="s">
        <v>191</v>
      </c>
      <c r="B68" s="29">
        <v>1323</v>
      </c>
    </row>
    <row r="69" spans="1:2" x14ac:dyDescent="0.25">
      <c r="A69" s="30" t="s">
        <v>126</v>
      </c>
      <c r="B69" s="29">
        <v>1323</v>
      </c>
    </row>
    <row r="70" spans="1:2" x14ac:dyDescent="0.25">
      <c r="A70" s="20" t="s">
        <v>166</v>
      </c>
      <c r="B70" s="29">
        <v>105493</v>
      </c>
    </row>
    <row r="71" spans="1:2" x14ac:dyDescent="0.25">
      <c r="A71" s="30" t="s">
        <v>136</v>
      </c>
      <c r="B71" s="29">
        <v>105493</v>
      </c>
    </row>
    <row r="72" spans="1:2" x14ac:dyDescent="0.25">
      <c r="A72" s="20" t="s">
        <v>210</v>
      </c>
      <c r="B72" s="29">
        <v>18929</v>
      </c>
    </row>
    <row r="73" spans="1:2" x14ac:dyDescent="0.25">
      <c r="A73" s="30" t="s">
        <v>126</v>
      </c>
      <c r="B73" s="29">
        <v>18929</v>
      </c>
    </row>
    <row r="74" spans="1:2" x14ac:dyDescent="0.25">
      <c r="A74" s="20" t="s">
        <v>184</v>
      </c>
      <c r="B74" s="29">
        <v>18929</v>
      </c>
    </row>
    <row r="75" spans="1:2" x14ac:dyDescent="0.25">
      <c r="A75" s="30" t="s">
        <v>126</v>
      </c>
      <c r="B75" s="29">
        <v>18929</v>
      </c>
    </row>
    <row r="76" spans="1:2" x14ac:dyDescent="0.25">
      <c r="A76" s="20" t="s">
        <v>159</v>
      </c>
      <c r="B76" s="29">
        <v>12124</v>
      </c>
    </row>
    <row r="77" spans="1:2" x14ac:dyDescent="0.25">
      <c r="A77" s="30" t="s">
        <v>126</v>
      </c>
      <c r="B77" s="29">
        <v>12124</v>
      </c>
    </row>
    <row r="78" spans="1:2" x14ac:dyDescent="0.25">
      <c r="A78" s="20" t="s">
        <v>174</v>
      </c>
      <c r="B78" s="29">
        <v>18929</v>
      </c>
    </row>
    <row r="79" spans="1:2" x14ac:dyDescent="0.25">
      <c r="A79" s="30" t="s">
        <v>126</v>
      </c>
      <c r="B79" s="29">
        <v>18929</v>
      </c>
    </row>
    <row r="80" spans="1:2" x14ac:dyDescent="0.25">
      <c r="A80" s="20" t="s">
        <v>133</v>
      </c>
      <c r="B80" s="29">
        <v>12323</v>
      </c>
    </row>
    <row r="81" spans="1:2" x14ac:dyDescent="0.25">
      <c r="A81" s="30" t="s">
        <v>126</v>
      </c>
      <c r="B81" s="29">
        <v>12323</v>
      </c>
    </row>
    <row r="82" spans="1:2" x14ac:dyDescent="0.25">
      <c r="A82" s="20" t="s">
        <v>183</v>
      </c>
      <c r="B82" s="29">
        <v>18929</v>
      </c>
    </row>
    <row r="83" spans="1:2" x14ac:dyDescent="0.25">
      <c r="A83" s="30" t="s">
        <v>126</v>
      </c>
      <c r="B83" s="29">
        <v>18929</v>
      </c>
    </row>
    <row r="84" spans="1:2" x14ac:dyDescent="0.25">
      <c r="A84" s="20" t="s">
        <v>151</v>
      </c>
      <c r="B84" s="29">
        <v>18929</v>
      </c>
    </row>
    <row r="85" spans="1:2" x14ac:dyDescent="0.25">
      <c r="A85" s="30" t="s">
        <v>126</v>
      </c>
      <c r="B85" s="29">
        <v>18929</v>
      </c>
    </row>
    <row r="86" spans="1:2" x14ac:dyDescent="0.25">
      <c r="A86" s="20" t="s">
        <v>192</v>
      </c>
      <c r="B86" s="29">
        <v>18929</v>
      </c>
    </row>
    <row r="87" spans="1:2" x14ac:dyDescent="0.25">
      <c r="A87" s="30" t="s">
        <v>126</v>
      </c>
      <c r="B87" s="29">
        <v>18929</v>
      </c>
    </row>
    <row r="88" spans="1:2" x14ac:dyDescent="0.25">
      <c r="A88" s="20" t="s">
        <v>160</v>
      </c>
      <c r="B88" s="29">
        <v>18929</v>
      </c>
    </row>
    <row r="89" spans="1:2" x14ac:dyDescent="0.25">
      <c r="A89" s="30" t="s">
        <v>126</v>
      </c>
      <c r="B89" s="29">
        <v>18929</v>
      </c>
    </row>
    <row r="90" spans="1:2" x14ac:dyDescent="0.25">
      <c r="A90" s="20" t="s">
        <v>168</v>
      </c>
      <c r="B90" s="29">
        <v>38270</v>
      </c>
    </row>
    <row r="91" spans="1:2" x14ac:dyDescent="0.25">
      <c r="A91" s="30" t="s">
        <v>126</v>
      </c>
      <c r="B91" s="29">
        <v>38270</v>
      </c>
    </row>
    <row r="92" spans="1:2" x14ac:dyDescent="0.25">
      <c r="A92" s="20" t="s">
        <v>181</v>
      </c>
      <c r="B92" s="29">
        <v>18929</v>
      </c>
    </row>
    <row r="93" spans="1:2" x14ac:dyDescent="0.25">
      <c r="A93" s="30" t="s">
        <v>138</v>
      </c>
      <c r="B93" s="29">
        <v>18929</v>
      </c>
    </row>
    <row r="94" spans="1:2" x14ac:dyDescent="0.25">
      <c r="A94" s="20" t="s">
        <v>167</v>
      </c>
      <c r="B94" s="29">
        <v>40160</v>
      </c>
    </row>
    <row r="95" spans="1:2" x14ac:dyDescent="0.25">
      <c r="A95" s="30" t="s">
        <v>126</v>
      </c>
      <c r="B95" s="29">
        <v>40160</v>
      </c>
    </row>
    <row r="96" spans="1:2" x14ac:dyDescent="0.25">
      <c r="A96" s="20" t="s">
        <v>158</v>
      </c>
      <c r="B96" s="29">
        <v>38281</v>
      </c>
    </row>
    <row r="97" spans="1:2" x14ac:dyDescent="0.25">
      <c r="A97" s="30" t="s">
        <v>138</v>
      </c>
      <c r="B97" s="29">
        <v>38281</v>
      </c>
    </row>
    <row r="98" spans="1:2" x14ac:dyDescent="0.25">
      <c r="A98" s="20" t="s">
        <v>211</v>
      </c>
      <c r="B98" s="29">
        <v>18929</v>
      </c>
    </row>
    <row r="99" spans="1:2" x14ac:dyDescent="0.25">
      <c r="A99" s="30" t="s">
        <v>136</v>
      </c>
      <c r="B99" s="29">
        <v>18929</v>
      </c>
    </row>
    <row r="100" spans="1:2" x14ac:dyDescent="0.25">
      <c r="A100" s="20" t="s">
        <v>199</v>
      </c>
      <c r="B100" s="29">
        <v>432</v>
      </c>
    </row>
    <row r="101" spans="1:2" x14ac:dyDescent="0.25">
      <c r="A101" s="30" t="s">
        <v>126</v>
      </c>
      <c r="B101" s="29">
        <v>432</v>
      </c>
    </row>
    <row r="102" spans="1:2" x14ac:dyDescent="0.25">
      <c r="A102" s="20" t="s">
        <v>157</v>
      </c>
      <c r="B102" s="29">
        <v>18929</v>
      </c>
    </row>
    <row r="103" spans="1:2" x14ac:dyDescent="0.25">
      <c r="A103" s="30" t="s">
        <v>126</v>
      </c>
      <c r="B103" s="29">
        <v>18929</v>
      </c>
    </row>
    <row r="104" spans="1:2" x14ac:dyDescent="0.25">
      <c r="A104" s="20" t="s">
        <v>161</v>
      </c>
      <c r="B104" s="29">
        <v>18929</v>
      </c>
    </row>
    <row r="105" spans="1:2" x14ac:dyDescent="0.25">
      <c r="A105" s="30" t="s">
        <v>126</v>
      </c>
      <c r="B105" s="29">
        <v>18929</v>
      </c>
    </row>
    <row r="106" spans="1:2" x14ac:dyDescent="0.25">
      <c r="A106" s="20" t="s">
        <v>179</v>
      </c>
      <c r="B106" s="29">
        <v>53453</v>
      </c>
    </row>
    <row r="107" spans="1:2" x14ac:dyDescent="0.25">
      <c r="A107" s="30" t="s">
        <v>126</v>
      </c>
      <c r="B107" s="29">
        <v>53453</v>
      </c>
    </row>
    <row r="108" spans="1:2" x14ac:dyDescent="0.25">
      <c r="A108" s="20" t="s">
        <v>185</v>
      </c>
      <c r="B108" s="29">
        <v>18929</v>
      </c>
    </row>
    <row r="109" spans="1:2" x14ac:dyDescent="0.25">
      <c r="A109" s="30" t="s">
        <v>126</v>
      </c>
      <c r="B109" s="29">
        <v>18929</v>
      </c>
    </row>
    <row r="110" spans="1:2" x14ac:dyDescent="0.25">
      <c r="A110" s="20" t="s">
        <v>175</v>
      </c>
      <c r="B110" s="29">
        <v>53435</v>
      </c>
    </row>
    <row r="111" spans="1:2" x14ac:dyDescent="0.25">
      <c r="A111" s="30" t="s">
        <v>126</v>
      </c>
      <c r="B111" s="29">
        <v>53435</v>
      </c>
    </row>
    <row r="112" spans="1:2" x14ac:dyDescent="0.25">
      <c r="A112" s="20" t="s">
        <v>208</v>
      </c>
      <c r="B112" s="29">
        <v>21231</v>
      </c>
    </row>
    <row r="113" spans="1:2" x14ac:dyDescent="0.25">
      <c r="A113" s="30" t="s">
        <v>136</v>
      </c>
      <c r="B113" s="29">
        <v>21231</v>
      </c>
    </row>
    <row r="114" spans="1:2" x14ac:dyDescent="0.25">
      <c r="A114" s="20" t="s">
        <v>209</v>
      </c>
      <c r="B114" s="29">
        <v>21321</v>
      </c>
    </row>
    <row r="115" spans="1:2" x14ac:dyDescent="0.25">
      <c r="A115" s="30" t="s">
        <v>126</v>
      </c>
      <c r="B115" s="29">
        <v>21321</v>
      </c>
    </row>
    <row r="116" spans="1:2" x14ac:dyDescent="0.25">
      <c r="A116" s="20" t="s">
        <v>164</v>
      </c>
      <c r="B116" s="29">
        <v>18929</v>
      </c>
    </row>
    <row r="117" spans="1:2" x14ac:dyDescent="0.25">
      <c r="A117" s="30" t="s">
        <v>138</v>
      </c>
      <c r="B117" s="29">
        <v>18929</v>
      </c>
    </row>
    <row r="118" spans="1:2" x14ac:dyDescent="0.25">
      <c r="A118" s="20" t="s">
        <v>207</v>
      </c>
      <c r="B118" s="29">
        <v>18929</v>
      </c>
    </row>
    <row r="119" spans="1:2" x14ac:dyDescent="0.25">
      <c r="A119" s="30" t="s">
        <v>138</v>
      </c>
      <c r="B119" s="29">
        <v>18929</v>
      </c>
    </row>
    <row r="120" spans="1:2" x14ac:dyDescent="0.25">
      <c r="A120" s="20" t="s">
        <v>186</v>
      </c>
      <c r="B120" s="29">
        <v>40241</v>
      </c>
    </row>
    <row r="121" spans="1:2" x14ac:dyDescent="0.25">
      <c r="A121" s="30" t="s">
        <v>126</v>
      </c>
      <c r="B121" s="29">
        <v>18929</v>
      </c>
    </row>
    <row r="122" spans="1:2" x14ac:dyDescent="0.25">
      <c r="A122" s="30" t="s">
        <v>136</v>
      </c>
      <c r="B122" s="29">
        <v>21312</v>
      </c>
    </row>
    <row r="123" spans="1:2" x14ac:dyDescent="0.25">
      <c r="A123" s="20" t="s">
        <v>165</v>
      </c>
      <c r="B123" s="29">
        <v>18929</v>
      </c>
    </row>
    <row r="124" spans="1:2" x14ac:dyDescent="0.25">
      <c r="A124" s="30" t="s">
        <v>126</v>
      </c>
      <c r="B124" s="29">
        <v>18929</v>
      </c>
    </row>
    <row r="125" spans="1:2" x14ac:dyDescent="0.25">
      <c r="A125" s="20" t="s">
        <v>178</v>
      </c>
      <c r="B125" s="29">
        <v>195505</v>
      </c>
    </row>
    <row r="126" spans="1:2" x14ac:dyDescent="0.25">
      <c r="A126" s="30" t="s">
        <v>126</v>
      </c>
      <c r="B126" s="29">
        <v>195505</v>
      </c>
    </row>
    <row r="127" spans="1:2" x14ac:dyDescent="0.25">
      <c r="A127" s="20" t="s">
        <v>156</v>
      </c>
      <c r="B127" s="29">
        <v>63252</v>
      </c>
    </row>
    <row r="128" spans="1:2" x14ac:dyDescent="0.25">
      <c r="A128" s="30" t="s">
        <v>136</v>
      </c>
      <c r="B128" s="29">
        <v>63252</v>
      </c>
    </row>
    <row r="129" spans="1:2" x14ac:dyDescent="0.25">
      <c r="A129" s="20" t="s">
        <v>177</v>
      </c>
      <c r="B129" s="29">
        <v>53453</v>
      </c>
    </row>
    <row r="130" spans="1:2" x14ac:dyDescent="0.25">
      <c r="A130" s="30" t="s">
        <v>136</v>
      </c>
      <c r="B130" s="29">
        <v>53453</v>
      </c>
    </row>
    <row r="131" spans="1:2" x14ac:dyDescent="0.25">
      <c r="A131" s="20" t="s">
        <v>182</v>
      </c>
      <c r="B131" s="29">
        <v>142052</v>
      </c>
    </row>
    <row r="132" spans="1:2" x14ac:dyDescent="0.25">
      <c r="A132" s="30" t="s">
        <v>126</v>
      </c>
      <c r="B132" s="29">
        <v>142052</v>
      </c>
    </row>
    <row r="133" spans="1:2" x14ac:dyDescent="0.25">
      <c r="A133" s="20" t="s">
        <v>171</v>
      </c>
      <c r="B133" s="29">
        <v>3667</v>
      </c>
    </row>
    <row r="134" spans="1:2" x14ac:dyDescent="0.25">
      <c r="A134" s="30" t="s">
        <v>126</v>
      </c>
      <c r="B134" s="29">
        <v>3667</v>
      </c>
    </row>
    <row r="135" spans="1:2" x14ac:dyDescent="0.25">
      <c r="A135" s="20" t="s">
        <v>200</v>
      </c>
      <c r="B135" s="29">
        <v>18929</v>
      </c>
    </row>
    <row r="136" spans="1:2" x14ac:dyDescent="0.25">
      <c r="A136" s="30" t="s">
        <v>137</v>
      </c>
      <c r="B136" s="29">
        <v>18929</v>
      </c>
    </row>
    <row r="137" spans="1:2" x14ac:dyDescent="0.25">
      <c r="A137" s="20" t="s">
        <v>693</v>
      </c>
      <c r="B137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D17C-3DAB-45E0-8061-5F80EEBC2B1C}">
  <dimension ref="A3:B162"/>
  <sheetViews>
    <sheetView zoomScale="53" workbookViewId="0">
      <selection activeCell="CT132" sqref="CT132"/>
    </sheetView>
  </sheetViews>
  <sheetFormatPr defaultRowHeight="15" x14ac:dyDescent="0.25"/>
  <cols>
    <col min="1" max="1" width="24.42578125" bestFit="1" customWidth="1"/>
    <col min="2" max="2" width="13.7109375" bestFit="1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31">
        <v>45917</v>
      </c>
      <c r="B4" s="29">
        <v>2391692</v>
      </c>
    </row>
    <row r="5" spans="1:2" x14ac:dyDescent="0.25">
      <c r="A5" s="30" t="s">
        <v>679</v>
      </c>
      <c r="B5" s="29">
        <v>18929</v>
      </c>
    </row>
    <row r="6" spans="1:2" x14ac:dyDescent="0.25">
      <c r="A6" s="32" t="s">
        <v>147</v>
      </c>
      <c r="B6" s="29">
        <v>18929</v>
      </c>
    </row>
    <row r="7" spans="1:2" x14ac:dyDescent="0.25">
      <c r="A7" s="30" t="s">
        <v>154</v>
      </c>
      <c r="B7" s="29">
        <v>69099</v>
      </c>
    </row>
    <row r="8" spans="1:2" x14ac:dyDescent="0.25">
      <c r="A8" s="32" t="s">
        <v>141</v>
      </c>
      <c r="B8" s="29">
        <v>18929</v>
      </c>
    </row>
    <row r="9" spans="1:2" x14ac:dyDescent="0.25">
      <c r="A9" s="32" t="s">
        <v>163</v>
      </c>
      <c r="B9" s="29">
        <v>12312</v>
      </c>
    </row>
    <row r="10" spans="1:2" x14ac:dyDescent="0.25">
      <c r="A10" s="32" t="s">
        <v>147</v>
      </c>
      <c r="B10" s="29">
        <v>18929</v>
      </c>
    </row>
    <row r="11" spans="1:2" x14ac:dyDescent="0.25">
      <c r="A11" s="32" t="s">
        <v>150</v>
      </c>
      <c r="B11" s="29">
        <v>18929</v>
      </c>
    </row>
    <row r="12" spans="1:2" x14ac:dyDescent="0.25">
      <c r="A12" s="30" t="s">
        <v>196</v>
      </c>
      <c r="B12" s="29">
        <v>3123</v>
      </c>
    </row>
    <row r="13" spans="1:2" x14ac:dyDescent="0.25">
      <c r="A13" s="32" t="s">
        <v>150</v>
      </c>
      <c r="B13" s="29">
        <v>3123</v>
      </c>
    </row>
    <row r="14" spans="1:2" x14ac:dyDescent="0.25">
      <c r="A14" s="30" t="s">
        <v>193</v>
      </c>
      <c r="B14" s="29">
        <v>37858</v>
      </c>
    </row>
    <row r="15" spans="1:2" x14ac:dyDescent="0.25">
      <c r="A15" s="32" t="s">
        <v>141</v>
      </c>
      <c r="B15" s="29">
        <v>18929</v>
      </c>
    </row>
    <row r="16" spans="1:2" x14ac:dyDescent="0.25">
      <c r="A16" s="32" t="s">
        <v>150</v>
      </c>
      <c r="B16" s="29">
        <v>18929</v>
      </c>
    </row>
    <row r="17" spans="1:2" x14ac:dyDescent="0.25">
      <c r="A17" s="30" t="s">
        <v>189</v>
      </c>
      <c r="B17" s="29">
        <v>37858</v>
      </c>
    </row>
    <row r="18" spans="1:2" x14ac:dyDescent="0.25">
      <c r="A18" s="32" t="s">
        <v>163</v>
      </c>
      <c r="B18" s="29">
        <v>18929</v>
      </c>
    </row>
    <row r="19" spans="1:2" x14ac:dyDescent="0.25">
      <c r="A19" s="32" t="s">
        <v>147</v>
      </c>
      <c r="B19" s="29">
        <v>18929</v>
      </c>
    </row>
    <row r="20" spans="1:2" x14ac:dyDescent="0.25">
      <c r="A20" s="30" t="s">
        <v>194</v>
      </c>
      <c r="B20" s="29">
        <v>18929</v>
      </c>
    </row>
    <row r="21" spans="1:2" x14ac:dyDescent="0.25">
      <c r="A21" s="32" t="s">
        <v>141</v>
      </c>
      <c r="B21" s="29">
        <v>18929</v>
      </c>
    </row>
    <row r="22" spans="1:2" x14ac:dyDescent="0.25">
      <c r="A22" s="30" t="s">
        <v>173</v>
      </c>
      <c r="B22" s="29">
        <v>18929</v>
      </c>
    </row>
    <row r="23" spans="1:2" x14ac:dyDescent="0.25">
      <c r="A23" s="32" t="s">
        <v>163</v>
      </c>
      <c r="B23" s="29">
        <v>18929</v>
      </c>
    </row>
    <row r="24" spans="1:2" x14ac:dyDescent="0.25">
      <c r="A24" s="30" t="s">
        <v>198</v>
      </c>
      <c r="B24" s="29">
        <v>3221</v>
      </c>
    </row>
    <row r="25" spans="1:2" x14ac:dyDescent="0.25">
      <c r="A25" s="32" t="s">
        <v>163</v>
      </c>
      <c r="B25" s="29">
        <v>3221</v>
      </c>
    </row>
    <row r="26" spans="1:2" x14ac:dyDescent="0.25">
      <c r="A26" s="30" t="s">
        <v>188</v>
      </c>
      <c r="B26" s="29">
        <v>18929</v>
      </c>
    </row>
    <row r="27" spans="1:2" x14ac:dyDescent="0.25">
      <c r="A27" s="32" t="s">
        <v>145</v>
      </c>
      <c r="B27" s="29">
        <v>18929</v>
      </c>
    </row>
    <row r="28" spans="1:2" x14ac:dyDescent="0.25">
      <c r="A28" s="30" t="s">
        <v>213</v>
      </c>
      <c r="B28" s="29">
        <v>18929</v>
      </c>
    </row>
    <row r="29" spans="1:2" x14ac:dyDescent="0.25">
      <c r="A29" s="32" t="s">
        <v>163</v>
      </c>
      <c r="B29" s="29">
        <v>18929</v>
      </c>
    </row>
    <row r="30" spans="1:2" x14ac:dyDescent="0.25">
      <c r="A30" s="30" t="s">
        <v>139</v>
      </c>
      <c r="B30" s="29">
        <v>37858</v>
      </c>
    </row>
    <row r="31" spans="1:2" x14ac:dyDescent="0.25">
      <c r="A31" s="32" t="s">
        <v>141</v>
      </c>
      <c r="B31" s="29">
        <v>18929</v>
      </c>
    </row>
    <row r="32" spans="1:2" x14ac:dyDescent="0.25">
      <c r="A32" s="32" t="s">
        <v>147</v>
      </c>
      <c r="B32" s="29">
        <v>18929</v>
      </c>
    </row>
    <row r="33" spans="1:2" x14ac:dyDescent="0.25">
      <c r="A33" s="30" t="s">
        <v>214</v>
      </c>
      <c r="B33" s="29">
        <v>41232</v>
      </c>
    </row>
    <row r="34" spans="1:2" x14ac:dyDescent="0.25">
      <c r="A34" s="32" t="s">
        <v>150</v>
      </c>
      <c r="B34" s="29">
        <v>41232</v>
      </c>
    </row>
    <row r="35" spans="1:2" x14ac:dyDescent="0.25">
      <c r="A35" s="30" t="s">
        <v>201</v>
      </c>
      <c r="B35" s="29">
        <v>142052</v>
      </c>
    </row>
    <row r="36" spans="1:2" x14ac:dyDescent="0.25">
      <c r="A36" s="32" t="s">
        <v>141</v>
      </c>
      <c r="B36" s="29">
        <v>18929</v>
      </c>
    </row>
    <row r="37" spans="1:2" x14ac:dyDescent="0.25">
      <c r="A37" s="32" t="s">
        <v>163</v>
      </c>
      <c r="B37" s="29">
        <v>123123</v>
      </c>
    </row>
    <row r="38" spans="1:2" x14ac:dyDescent="0.25">
      <c r="A38" s="30" t="s">
        <v>180</v>
      </c>
      <c r="B38" s="29">
        <v>31241</v>
      </c>
    </row>
    <row r="39" spans="1:2" x14ac:dyDescent="0.25">
      <c r="A39" s="32" t="s">
        <v>147</v>
      </c>
      <c r="B39" s="29">
        <v>31241</v>
      </c>
    </row>
    <row r="40" spans="1:2" x14ac:dyDescent="0.25">
      <c r="A40" s="30" t="s">
        <v>205</v>
      </c>
      <c r="B40" s="29">
        <v>63446</v>
      </c>
    </row>
    <row r="41" spans="1:2" x14ac:dyDescent="0.25">
      <c r="A41" s="32" t="s">
        <v>141</v>
      </c>
      <c r="B41" s="29">
        <v>32223</v>
      </c>
    </row>
    <row r="42" spans="1:2" x14ac:dyDescent="0.25">
      <c r="A42" s="32" t="s">
        <v>150</v>
      </c>
      <c r="B42" s="29">
        <v>31223</v>
      </c>
    </row>
    <row r="43" spans="1:2" x14ac:dyDescent="0.25">
      <c r="A43" s="30" t="s">
        <v>206</v>
      </c>
      <c r="B43" s="29">
        <v>12312</v>
      </c>
    </row>
    <row r="44" spans="1:2" x14ac:dyDescent="0.25">
      <c r="A44" s="32" t="s">
        <v>150</v>
      </c>
      <c r="B44" s="29">
        <v>12312</v>
      </c>
    </row>
    <row r="45" spans="1:2" x14ac:dyDescent="0.25">
      <c r="A45" s="30" t="s">
        <v>148</v>
      </c>
      <c r="B45" s="29">
        <v>12700</v>
      </c>
    </row>
    <row r="46" spans="1:2" x14ac:dyDescent="0.25">
      <c r="A46" s="32" t="s">
        <v>163</v>
      </c>
      <c r="B46" s="29">
        <v>4232</v>
      </c>
    </row>
    <row r="47" spans="1:2" x14ac:dyDescent="0.25">
      <c r="A47" s="32" t="s">
        <v>150</v>
      </c>
      <c r="B47" s="29">
        <v>8468</v>
      </c>
    </row>
    <row r="48" spans="1:2" x14ac:dyDescent="0.25">
      <c r="A48" s="30" t="s">
        <v>172</v>
      </c>
      <c r="B48" s="29">
        <v>18929</v>
      </c>
    </row>
    <row r="49" spans="1:2" x14ac:dyDescent="0.25">
      <c r="A49" s="32" t="s">
        <v>150</v>
      </c>
      <c r="B49" s="29">
        <v>18929</v>
      </c>
    </row>
    <row r="50" spans="1:2" x14ac:dyDescent="0.25">
      <c r="A50" s="30" t="s">
        <v>142</v>
      </c>
      <c r="B50" s="29">
        <v>31232</v>
      </c>
    </row>
    <row r="51" spans="1:2" x14ac:dyDescent="0.25">
      <c r="A51" s="32" t="s">
        <v>145</v>
      </c>
      <c r="B51" s="29">
        <v>31232</v>
      </c>
    </row>
    <row r="52" spans="1:2" x14ac:dyDescent="0.25">
      <c r="A52" s="30" t="s">
        <v>203</v>
      </c>
      <c r="B52" s="29">
        <v>18929</v>
      </c>
    </row>
    <row r="53" spans="1:2" x14ac:dyDescent="0.25">
      <c r="A53" s="32" t="s">
        <v>163</v>
      </c>
      <c r="B53" s="29">
        <v>18929</v>
      </c>
    </row>
    <row r="54" spans="1:2" x14ac:dyDescent="0.25">
      <c r="A54" s="30" t="s">
        <v>146</v>
      </c>
      <c r="B54" s="29">
        <v>20160</v>
      </c>
    </row>
    <row r="55" spans="1:2" x14ac:dyDescent="0.25">
      <c r="A55" s="32" t="s">
        <v>163</v>
      </c>
      <c r="B55" s="29">
        <v>18929</v>
      </c>
    </row>
    <row r="56" spans="1:2" x14ac:dyDescent="0.25">
      <c r="A56" s="32" t="s">
        <v>147</v>
      </c>
      <c r="B56" s="29">
        <v>1231</v>
      </c>
    </row>
    <row r="57" spans="1:2" x14ac:dyDescent="0.25">
      <c r="A57" s="30" t="s">
        <v>212</v>
      </c>
      <c r="B57" s="29">
        <v>32123</v>
      </c>
    </row>
    <row r="58" spans="1:2" x14ac:dyDescent="0.25">
      <c r="A58" s="32" t="s">
        <v>141</v>
      </c>
      <c r="B58" s="29">
        <v>32123</v>
      </c>
    </row>
    <row r="59" spans="1:2" x14ac:dyDescent="0.25">
      <c r="A59" s="30" t="s">
        <v>197</v>
      </c>
      <c r="B59" s="29">
        <v>1231</v>
      </c>
    </row>
    <row r="60" spans="1:2" x14ac:dyDescent="0.25">
      <c r="A60" s="32" t="s">
        <v>163</v>
      </c>
      <c r="B60" s="29">
        <v>1231</v>
      </c>
    </row>
    <row r="61" spans="1:2" x14ac:dyDescent="0.25">
      <c r="A61" s="30" t="s">
        <v>195</v>
      </c>
      <c r="B61" s="29">
        <v>7365</v>
      </c>
    </row>
    <row r="62" spans="1:2" x14ac:dyDescent="0.25">
      <c r="A62" s="32" t="s">
        <v>141</v>
      </c>
      <c r="B62" s="29">
        <v>4123</v>
      </c>
    </row>
    <row r="63" spans="1:2" x14ac:dyDescent="0.25">
      <c r="A63" s="32" t="s">
        <v>147</v>
      </c>
      <c r="B63" s="29">
        <v>3242</v>
      </c>
    </row>
    <row r="64" spans="1:2" x14ac:dyDescent="0.25">
      <c r="A64" s="30" t="s">
        <v>204</v>
      </c>
      <c r="B64" s="29">
        <v>18929</v>
      </c>
    </row>
    <row r="65" spans="1:2" x14ac:dyDescent="0.25">
      <c r="A65" s="32" t="s">
        <v>145</v>
      </c>
      <c r="B65" s="29">
        <v>18929</v>
      </c>
    </row>
    <row r="66" spans="1:2" x14ac:dyDescent="0.25">
      <c r="A66" s="30" t="s">
        <v>176</v>
      </c>
      <c r="B66" s="29">
        <v>290402</v>
      </c>
    </row>
    <row r="67" spans="1:2" x14ac:dyDescent="0.25">
      <c r="A67" s="32" t="s">
        <v>163</v>
      </c>
      <c r="B67" s="29">
        <v>269279</v>
      </c>
    </row>
    <row r="68" spans="1:2" x14ac:dyDescent="0.25">
      <c r="A68" s="32" t="s">
        <v>150</v>
      </c>
      <c r="B68" s="29">
        <v>21123</v>
      </c>
    </row>
    <row r="69" spans="1:2" x14ac:dyDescent="0.25">
      <c r="A69" s="30" t="s">
        <v>202</v>
      </c>
      <c r="B69" s="29">
        <v>18929</v>
      </c>
    </row>
    <row r="70" spans="1:2" x14ac:dyDescent="0.25">
      <c r="A70" s="32" t="s">
        <v>150</v>
      </c>
      <c r="B70" s="29">
        <v>18929</v>
      </c>
    </row>
    <row r="71" spans="1:2" x14ac:dyDescent="0.25">
      <c r="A71" s="30" t="s">
        <v>162</v>
      </c>
      <c r="B71" s="29">
        <v>40981</v>
      </c>
    </row>
    <row r="72" spans="1:2" x14ac:dyDescent="0.25">
      <c r="A72" s="32" t="s">
        <v>163</v>
      </c>
      <c r="B72" s="29">
        <v>18929</v>
      </c>
    </row>
    <row r="73" spans="1:2" x14ac:dyDescent="0.25">
      <c r="A73" s="32" t="s">
        <v>147</v>
      </c>
      <c r="B73" s="29">
        <v>22052</v>
      </c>
    </row>
    <row r="74" spans="1:2" x14ac:dyDescent="0.25">
      <c r="A74" s="30" t="s">
        <v>190</v>
      </c>
      <c r="B74" s="29">
        <v>18929</v>
      </c>
    </row>
    <row r="75" spans="1:2" x14ac:dyDescent="0.25">
      <c r="A75" s="32" t="s">
        <v>145</v>
      </c>
      <c r="B75" s="29">
        <v>18929</v>
      </c>
    </row>
    <row r="76" spans="1:2" x14ac:dyDescent="0.25">
      <c r="A76" s="30" t="s">
        <v>187</v>
      </c>
      <c r="B76" s="29">
        <v>18929</v>
      </c>
    </row>
    <row r="77" spans="1:2" x14ac:dyDescent="0.25">
      <c r="A77" s="32" t="s">
        <v>141</v>
      </c>
      <c r="B77" s="29">
        <v>18929</v>
      </c>
    </row>
    <row r="78" spans="1:2" x14ac:dyDescent="0.25">
      <c r="A78" s="30" t="s">
        <v>170</v>
      </c>
      <c r="B78" s="29">
        <v>37858</v>
      </c>
    </row>
    <row r="79" spans="1:2" x14ac:dyDescent="0.25">
      <c r="A79" s="32" t="s">
        <v>163</v>
      </c>
      <c r="B79" s="29">
        <v>18929</v>
      </c>
    </row>
    <row r="80" spans="1:2" x14ac:dyDescent="0.25">
      <c r="A80" s="32" t="s">
        <v>147</v>
      </c>
      <c r="B80" s="29">
        <v>18929</v>
      </c>
    </row>
    <row r="81" spans="1:2" x14ac:dyDescent="0.25">
      <c r="A81" s="30" t="s">
        <v>169</v>
      </c>
      <c r="B81" s="29">
        <v>31241</v>
      </c>
    </row>
    <row r="82" spans="1:2" x14ac:dyDescent="0.25">
      <c r="A82" s="32" t="s">
        <v>145</v>
      </c>
      <c r="B82" s="29">
        <v>12312</v>
      </c>
    </row>
    <row r="83" spans="1:2" x14ac:dyDescent="0.25">
      <c r="A83" s="32" t="s">
        <v>163</v>
      </c>
      <c r="B83" s="29">
        <v>18929</v>
      </c>
    </row>
    <row r="84" spans="1:2" x14ac:dyDescent="0.25">
      <c r="A84" s="30" t="s">
        <v>191</v>
      </c>
      <c r="B84" s="29">
        <v>1323</v>
      </c>
    </row>
    <row r="85" spans="1:2" x14ac:dyDescent="0.25">
      <c r="A85" s="32" t="s">
        <v>145</v>
      </c>
      <c r="B85" s="29">
        <v>1323</v>
      </c>
    </row>
    <row r="86" spans="1:2" x14ac:dyDescent="0.25">
      <c r="A86" s="30" t="s">
        <v>166</v>
      </c>
      <c r="B86" s="29">
        <v>105493</v>
      </c>
    </row>
    <row r="87" spans="1:2" x14ac:dyDescent="0.25">
      <c r="A87" s="32" t="s">
        <v>145</v>
      </c>
      <c r="B87" s="29">
        <v>32121</v>
      </c>
    </row>
    <row r="88" spans="1:2" x14ac:dyDescent="0.25">
      <c r="A88" s="32" t="s">
        <v>141</v>
      </c>
      <c r="B88" s="29">
        <v>50160</v>
      </c>
    </row>
    <row r="89" spans="1:2" x14ac:dyDescent="0.25">
      <c r="A89" s="32" t="s">
        <v>163</v>
      </c>
      <c r="B89" s="29">
        <v>23212</v>
      </c>
    </row>
    <row r="90" spans="1:2" x14ac:dyDescent="0.25">
      <c r="A90" s="30" t="s">
        <v>210</v>
      </c>
      <c r="B90" s="29">
        <v>18929</v>
      </c>
    </row>
    <row r="91" spans="1:2" x14ac:dyDescent="0.25">
      <c r="A91" s="32" t="s">
        <v>150</v>
      </c>
      <c r="B91" s="29">
        <v>18929</v>
      </c>
    </row>
    <row r="92" spans="1:2" x14ac:dyDescent="0.25">
      <c r="A92" s="30" t="s">
        <v>184</v>
      </c>
      <c r="B92" s="29">
        <v>18929</v>
      </c>
    </row>
    <row r="93" spans="1:2" x14ac:dyDescent="0.25">
      <c r="A93" s="32" t="s">
        <v>147</v>
      </c>
      <c r="B93" s="29">
        <v>18929</v>
      </c>
    </row>
    <row r="94" spans="1:2" x14ac:dyDescent="0.25">
      <c r="A94" s="30" t="s">
        <v>159</v>
      </c>
      <c r="B94" s="29">
        <v>12124</v>
      </c>
    </row>
    <row r="95" spans="1:2" x14ac:dyDescent="0.25">
      <c r="A95" s="32" t="s">
        <v>141</v>
      </c>
      <c r="B95" s="29">
        <v>12124</v>
      </c>
    </row>
    <row r="96" spans="1:2" x14ac:dyDescent="0.25">
      <c r="A96" s="30" t="s">
        <v>174</v>
      </c>
      <c r="B96" s="29">
        <v>18929</v>
      </c>
    </row>
    <row r="97" spans="1:2" x14ac:dyDescent="0.25">
      <c r="A97" s="32" t="s">
        <v>163</v>
      </c>
      <c r="B97" s="29">
        <v>18929</v>
      </c>
    </row>
    <row r="98" spans="1:2" x14ac:dyDescent="0.25">
      <c r="A98" s="30" t="s">
        <v>133</v>
      </c>
      <c r="B98" s="29">
        <v>12323</v>
      </c>
    </row>
    <row r="99" spans="1:2" x14ac:dyDescent="0.25">
      <c r="A99" s="32" t="s">
        <v>147</v>
      </c>
      <c r="B99" s="29">
        <v>12323</v>
      </c>
    </row>
    <row r="100" spans="1:2" x14ac:dyDescent="0.25">
      <c r="A100" s="30" t="s">
        <v>183</v>
      </c>
      <c r="B100" s="29">
        <v>18929</v>
      </c>
    </row>
    <row r="101" spans="1:2" x14ac:dyDescent="0.25">
      <c r="A101" s="32" t="s">
        <v>141</v>
      </c>
      <c r="B101" s="29">
        <v>18929</v>
      </c>
    </row>
    <row r="102" spans="1:2" x14ac:dyDescent="0.25">
      <c r="A102" s="30" t="s">
        <v>151</v>
      </c>
      <c r="B102" s="29">
        <v>18929</v>
      </c>
    </row>
    <row r="103" spans="1:2" x14ac:dyDescent="0.25">
      <c r="A103" s="32" t="s">
        <v>147</v>
      </c>
      <c r="B103" s="29">
        <v>18929</v>
      </c>
    </row>
    <row r="104" spans="1:2" x14ac:dyDescent="0.25">
      <c r="A104" s="30" t="s">
        <v>192</v>
      </c>
      <c r="B104" s="29">
        <v>18929</v>
      </c>
    </row>
    <row r="105" spans="1:2" x14ac:dyDescent="0.25">
      <c r="A105" s="32" t="s">
        <v>147</v>
      </c>
      <c r="B105" s="29">
        <v>18929</v>
      </c>
    </row>
    <row r="106" spans="1:2" x14ac:dyDescent="0.25">
      <c r="A106" s="30" t="s">
        <v>160</v>
      </c>
      <c r="B106" s="29">
        <v>18929</v>
      </c>
    </row>
    <row r="107" spans="1:2" x14ac:dyDescent="0.25">
      <c r="A107" s="32" t="s">
        <v>150</v>
      </c>
      <c r="B107" s="29">
        <v>18929</v>
      </c>
    </row>
    <row r="108" spans="1:2" x14ac:dyDescent="0.25">
      <c r="A108" s="30" t="s">
        <v>168</v>
      </c>
      <c r="B108" s="29">
        <v>38270</v>
      </c>
    </row>
    <row r="109" spans="1:2" x14ac:dyDescent="0.25">
      <c r="A109" s="32" t="s">
        <v>163</v>
      </c>
      <c r="B109" s="29">
        <v>412</v>
      </c>
    </row>
    <row r="110" spans="1:2" x14ac:dyDescent="0.25">
      <c r="A110" s="32" t="s">
        <v>147</v>
      </c>
      <c r="B110" s="29">
        <v>37858</v>
      </c>
    </row>
    <row r="111" spans="1:2" x14ac:dyDescent="0.25">
      <c r="A111" s="30" t="s">
        <v>181</v>
      </c>
      <c r="B111" s="29">
        <v>18929</v>
      </c>
    </row>
    <row r="112" spans="1:2" x14ac:dyDescent="0.25">
      <c r="A112" s="32" t="s">
        <v>150</v>
      </c>
      <c r="B112" s="29">
        <v>18929</v>
      </c>
    </row>
    <row r="113" spans="1:2" x14ac:dyDescent="0.25">
      <c r="A113" s="30" t="s">
        <v>167</v>
      </c>
      <c r="B113" s="29">
        <v>40160</v>
      </c>
    </row>
    <row r="114" spans="1:2" x14ac:dyDescent="0.25">
      <c r="A114" s="32" t="s">
        <v>145</v>
      </c>
      <c r="B114" s="29">
        <v>40160</v>
      </c>
    </row>
    <row r="115" spans="1:2" x14ac:dyDescent="0.25">
      <c r="A115" s="30" t="s">
        <v>158</v>
      </c>
      <c r="B115" s="29">
        <v>38281</v>
      </c>
    </row>
    <row r="116" spans="1:2" x14ac:dyDescent="0.25">
      <c r="A116" s="32" t="s">
        <v>163</v>
      </c>
      <c r="B116" s="29">
        <v>18929</v>
      </c>
    </row>
    <row r="117" spans="1:2" x14ac:dyDescent="0.25">
      <c r="A117" s="32" t="s">
        <v>147</v>
      </c>
      <c r="B117" s="29">
        <v>423</v>
      </c>
    </row>
    <row r="118" spans="1:2" x14ac:dyDescent="0.25">
      <c r="A118" s="32" t="s">
        <v>150</v>
      </c>
      <c r="B118" s="29">
        <v>18929</v>
      </c>
    </row>
    <row r="119" spans="1:2" x14ac:dyDescent="0.25">
      <c r="A119" s="30" t="s">
        <v>211</v>
      </c>
      <c r="B119" s="29">
        <v>18929</v>
      </c>
    </row>
    <row r="120" spans="1:2" x14ac:dyDescent="0.25">
      <c r="A120" s="32" t="s">
        <v>147</v>
      </c>
      <c r="B120" s="29">
        <v>18929</v>
      </c>
    </row>
    <row r="121" spans="1:2" x14ac:dyDescent="0.25">
      <c r="A121" s="30" t="s">
        <v>199</v>
      </c>
      <c r="B121" s="29">
        <v>432</v>
      </c>
    </row>
    <row r="122" spans="1:2" x14ac:dyDescent="0.25">
      <c r="A122" s="32" t="s">
        <v>147</v>
      </c>
      <c r="B122" s="29">
        <v>432</v>
      </c>
    </row>
    <row r="123" spans="1:2" x14ac:dyDescent="0.25">
      <c r="A123" s="30" t="s">
        <v>157</v>
      </c>
      <c r="B123" s="29">
        <v>18929</v>
      </c>
    </row>
    <row r="124" spans="1:2" x14ac:dyDescent="0.25">
      <c r="A124" s="32" t="s">
        <v>150</v>
      </c>
      <c r="B124" s="29">
        <v>18929</v>
      </c>
    </row>
    <row r="125" spans="1:2" x14ac:dyDescent="0.25">
      <c r="A125" s="30" t="s">
        <v>161</v>
      </c>
      <c r="B125" s="29">
        <v>18929</v>
      </c>
    </row>
    <row r="126" spans="1:2" x14ac:dyDescent="0.25">
      <c r="A126" s="32" t="s">
        <v>141</v>
      </c>
      <c r="B126" s="29">
        <v>18929</v>
      </c>
    </row>
    <row r="127" spans="1:2" x14ac:dyDescent="0.25">
      <c r="A127" s="30" t="s">
        <v>179</v>
      </c>
      <c r="B127" s="29">
        <v>53453</v>
      </c>
    </row>
    <row r="128" spans="1:2" x14ac:dyDescent="0.25">
      <c r="A128" s="32" t="s">
        <v>150</v>
      </c>
      <c r="B128" s="29">
        <v>53453</v>
      </c>
    </row>
    <row r="129" spans="1:2" x14ac:dyDescent="0.25">
      <c r="A129" s="30" t="s">
        <v>185</v>
      </c>
      <c r="B129" s="29">
        <v>18929</v>
      </c>
    </row>
    <row r="130" spans="1:2" x14ac:dyDescent="0.25">
      <c r="A130" s="32" t="s">
        <v>145</v>
      </c>
      <c r="B130" s="29">
        <v>18929</v>
      </c>
    </row>
    <row r="131" spans="1:2" x14ac:dyDescent="0.25">
      <c r="A131" s="30" t="s">
        <v>175</v>
      </c>
      <c r="B131" s="29">
        <v>53435</v>
      </c>
    </row>
    <row r="132" spans="1:2" x14ac:dyDescent="0.25">
      <c r="A132" s="32" t="s">
        <v>141</v>
      </c>
      <c r="B132" s="29">
        <v>53435</v>
      </c>
    </row>
    <row r="133" spans="1:2" x14ac:dyDescent="0.25">
      <c r="A133" s="30" t="s">
        <v>208</v>
      </c>
      <c r="B133" s="29">
        <v>21231</v>
      </c>
    </row>
    <row r="134" spans="1:2" x14ac:dyDescent="0.25">
      <c r="A134" s="32" t="s">
        <v>147</v>
      </c>
      <c r="B134" s="29">
        <v>21231</v>
      </c>
    </row>
    <row r="135" spans="1:2" x14ac:dyDescent="0.25">
      <c r="A135" s="30" t="s">
        <v>209</v>
      </c>
      <c r="B135" s="29">
        <v>21321</v>
      </c>
    </row>
    <row r="136" spans="1:2" x14ac:dyDescent="0.25">
      <c r="A136" s="32" t="s">
        <v>150</v>
      </c>
      <c r="B136" s="29">
        <v>21321</v>
      </c>
    </row>
    <row r="137" spans="1:2" x14ac:dyDescent="0.25">
      <c r="A137" s="30" t="s">
        <v>164</v>
      </c>
      <c r="B137" s="29">
        <v>18929</v>
      </c>
    </row>
    <row r="138" spans="1:2" x14ac:dyDescent="0.25">
      <c r="A138" s="32" t="s">
        <v>147</v>
      </c>
      <c r="B138" s="29">
        <v>18929</v>
      </c>
    </row>
    <row r="139" spans="1:2" x14ac:dyDescent="0.25">
      <c r="A139" s="30" t="s">
        <v>207</v>
      </c>
      <c r="B139" s="29">
        <v>18929</v>
      </c>
    </row>
    <row r="140" spans="1:2" x14ac:dyDescent="0.25">
      <c r="A140" s="32" t="s">
        <v>163</v>
      </c>
      <c r="B140" s="29">
        <v>18929</v>
      </c>
    </row>
    <row r="141" spans="1:2" x14ac:dyDescent="0.25">
      <c r="A141" s="30" t="s">
        <v>186</v>
      </c>
      <c r="B141" s="29">
        <v>40241</v>
      </c>
    </row>
    <row r="142" spans="1:2" x14ac:dyDescent="0.25">
      <c r="A142" s="32" t="s">
        <v>141</v>
      </c>
      <c r="B142" s="29">
        <v>18929</v>
      </c>
    </row>
    <row r="143" spans="1:2" x14ac:dyDescent="0.25">
      <c r="A143" s="32" t="s">
        <v>150</v>
      </c>
      <c r="B143" s="29">
        <v>21312</v>
      </c>
    </row>
    <row r="144" spans="1:2" x14ac:dyDescent="0.25">
      <c r="A144" s="30" t="s">
        <v>165</v>
      </c>
      <c r="B144" s="29">
        <v>18929</v>
      </c>
    </row>
    <row r="145" spans="1:2" x14ac:dyDescent="0.25">
      <c r="A145" s="32" t="s">
        <v>141</v>
      </c>
      <c r="B145" s="29">
        <v>18929</v>
      </c>
    </row>
    <row r="146" spans="1:2" x14ac:dyDescent="0.25">
      <c r="A146" s="30" t="s">
        <v>178</v>
      </c>
      <c r="B146" s="29">
        <v>195505</v>
      </c>
    </row>
    <row r="147" spans="1:2" x14ac:dyDescent="0.25">
      <c r="A147" s="32" t="s">
        <v>145</v>
      </c>
      <c r="B147" s="29">
        <v>123123</v>
      </c>
    </row>
    <row r="148" spans="1:2" x14ac:dyDescent="0.25">
      <c r="A148" s="32" t="s">
        <v>163</v>
      </c>
      <c r="B148" s="29">
        <v>72382</v>
      </c>
    </row>
    <row r="149" spans="1:2" x14ac:dyDescent="0.25">
      <c r="A149" s="30" t="s">
        <v>156</v>
      </c>
      <c r="B149" s="29">
        <v>63252</v>
      </c>
    </row>
    <row r="150" spans="1:2" x14ac:dyDescent="0.25">
      <c r="A150" s="32" t="s">
        <v>145</v>
      </c>
      <c r="B150" s="29">
        <v>18929</v>
      </c>
    </row>
    <row r="151" spans="1:2" x14ac:dyDescent="0.25">
      <c r="A151" s="32" t="s">
        <v>150</v>
      </c>
      <c r="B151" s="29">
        <v>44323</v>
      </c>
    </row>
    <row r="152" spans="1:2" x14ac:dyDescent="0.25">
      <c r="A152" s="30" t="s">
        <v>177</v>
      </c>
      <c r="B152" s="29">
        <v>53453</v>
      </c>
    </row>
    <row r="153" spans="1:2" x14ac:dyDescent="0.25">
      <c r="A153" s="32" t="s">
        <v>163</v>
      </c>
      <c r="B153" s="29">
        <v>53453</v>
      </c>
    </row>
    <row r="154" spans="1:2" x14ac:dyDescent="0.25">
      <c r="A154" s="30" t="s">
        <v>182</v>
      </c>
      <c r="B154" s="29">
        <v>142052</v>
      </c>
    </row>
    <row r="155" spans="1:2" x14ac:dyDescent="0.25">
      <c r="A155" s="32" t="s">
        <v>141</v>
      </c>
      <c r="B155" s="29">
        <v>18929</v>
      </c>
    </row>
    <row r="156" spans="1:2" x14ac:dyDescent="0.25">
      <c r="A156" s="32" t="s">
        <v>163</v>
      </c>
      <c r="B156" s="29">
        <v>123123</v>
      </c>
    </row>
    <row r="157" spans="1:2" x14ac:dyDescent="0.25">
      <c r="A157" s="30" t="s">
        <v>171</v>
      </c>
      <c r="B157" s="29">
        <v>3667</v>
      </c>
    </row>
    <row r="158" spans="1:2" x14ac:dyDescent="0.25">
      <c r="A158" s="32" t="s">
        <v>141</v>
      </c>
      <c r="B158" s="29">
        <v>3124</v>
      </c>
    </row>
    <row r="159" spans="1:2" x14ac:dyDescent="0.25">
      <c r="A159" s="32" t="s">
        <v>147</v>
      </c>
      <c r="B159" s="29">
        <v>543</v>
      </c>
    </row>
    <row r="160" spans="1:2" x14ac:dyDescent="0.25">
      <c r="A160" s="30" t="s">
        <v>200</v>
      </c>
      <c r="B160" s="29">
        <v>18929</v>
      </c>
    </row>
    <row r="161" spans="1:2" x14ac:dyDescent="0.25">
      <c r="A161" s="32" t="s">
        <v>163</v>
      </c>
      <c r="B161" s="29">
        <v>18929</v>
      </c>
    </row>
    <row r="162" spans="1:2" x14ac:dyDescent="0.25">
      <c r="A162" s="31" t="s">
        <v>693</v>
      </c>
      <c r="B162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BECC-A37F-4DCA-9D8B-3D8321D887F6}">
  <sheetPr codeName="Planilha6"/>
  <dimension ref="A1:G109"/>
  <sheetViews>
    <sheetView showGridLines="0" topLeftCell="A9" zoomScale="124" zoomScaleNormal="145" workbookViewId="0">
      <selection activeCell="A9" sqref="A9:G109"/>
    </sheetView>
  </sheetViews>
  <sheetFormatPr defaultRowHeight="15" x14ac:dyDescent="0.25"/>
  <cols>
    <col min="1" max="1" width="22.85546875" style="17" customWidth="1"/>
    <col min="2" max="2" width="41.42578125" customWidth="1"/>
    <col min="3" max="3" width="22.140625" customWidth="1"/>
    <col min="4" max="4" width="13.85546875" customWidth="1"/>
    <col min="5" max="5" width="14.7109375" customWidth="1"/>
    <col min="6" max="6" width="49.28515625" customWidth="1"/>
    <col min="7" max="7" width="44.5703125" customWidth="1"/>
  </cols>
  <sheetData>
    <row r="1" spans="1:7" x14ac:dyDescent="0.25">
      <c r="A1" s="16" t="s">
        <v>122</v>
      </c>
      <c r="B1" s="12">
        <f ca="1">TODAY()</f>
        <v>45917</v>
      </c>
    </row>
    <row r="2" spans="1:7" x14ac:dyDescent="0.25">
      <c r="A2" s="16" t="s">
        <v>123</v>
      </c>
      <c r="B2" s="13"/>
      <c r="D2" t="s">
        <v>134</v>
      </c>
    </row>
    <row r="3" spans="1:7" x14ac:dyDescent="0.25">
      <c r="A3" s="16" t="s">
        <v>112</v>
      </c>
      <c r="B3" s="13"/>
    </row>
    <row r="4" spans="1:7" x14ac:dyDescent="0.25">
      <c r="A4" s="16" t="s">
        <v>113</v>
      </c>
      <c r="B4" s="13"/>
      <c r="D4" t="s">
        <v>135</v>
      </c>
    </row>
    <row r="5" spans="1:7" x14ac:dyDescent="0.25">
      <c r="A5" s="16" t="s">
        <v>124</v>
      </c>
      <c r="B5" s="13"/>
    </row>
    <row r="6" spans="1:7" ht="18.75" customHeight="1" x14ac:dyDescent="0.25">
      <c r="A6" s="16" t="s">
        <v>131</v>
      </c>
      <c r="B6" s="7"/>
      <c r="D6" t="s">
        <v>8</v>
      </c>
    </row>
    <row r="7" spans="1:7" x14ac:dyDescent="0.25">
      <c r="A7" s="16" t="s">
        <v>132</v>
      </c>
      <c r="B7" s="13"/>
    </row>
    <row r="9" spans="1:7" x14ac:dyDescent="0.25">
      <c r="A9" s="16" t="s">
        <v>122</v>
      </c>
      <c r="B9" s="10" t="s">
        <v>123</v>
      </c>
      <c r="C9" s="10" t="s">
        <v>112</v>
      </c>
      <c r="D9" s="10" t="s">
        <v>113</v>
      </c>
      <c r="E9" s="10" t="s">
        <v>124</v>
      </c>
      <c r="F9" s="10" t="s">
        <v>131</v>
      </c>
      <c r="G9" s="10" t="s">
        <v>132</v>
      </c>
    </row>
    <row r="10" spans="1:7" ht="13.5" customHeight="1" x14ac:dyDescent="0.25">
      <c r="A10" s="12">
        <f ca="1">TODAY()</f>
        <v>45917</v>
      </c>
      <c r="B10" s="1">
        <v>98</v>
      </c>
      <c r="C10" s="1" t="s">
        <v>176</v>
      </c>
      <c r="D10" s="1" t="s">
        <v>126</v>
      </c>
      <c r="E10" s="1">
        <v>231421</v>
      </c>
      <c r="F10" s="1" t="s">
        <v>149</v>
      </c>
      <c r="G10" s="1" t="s">
        <v>163</v>
      </c>
    </row>
    <row r="11" spans="1:7" x14ac:dyDescent="0.25">
      <c r="A11" s="12">
        <f ca="1">TODAY()</f>
        <v>45917</v>
      </c>
      <c r="B11" s="1">
        <v>90</v>
      </c>
      <c r="C11" s="1" t="s">
        <v>182</v>
      </c>
      <c r="D11" s="1" t="s">
        <v>126</v>
      </c>
      <c r="E11" s="1">
        <v>123123</v>
      </c>
      <c r="F11" s="1" t="s">
        <v>155</v>
      </c>
      <c r="G11" s="1" t="s">
        <v>163</v>
      </c>
    </row>
    <row r="12" spans="1:7" x14ac:dyDescent="0.25">
      <c r="A12" s="12">
        <f ca="1">TODAY()</f>
        <v>45917</v>
      </c>
      <c r="B12" s="1">
        <v>91</v>
      </c>
      <c r="C12" s="1" t="s">
        <v>178</v>
      </c>
      <c r="D12" s="1" t="s">
        <v>126</v>
      </c>
      <c r="E12" s="1">
        <v>123123</v>
      </c>
      <c r="F12" s="1" t="s">
        <v>153</v>
      </c>
      <c r="G12" s="1" t="s">
        <v>145</v>
      </c>
    </row>
    <row r="13" spans="1:7" x14ac:dyDescent="0.25">
      <c r="A13" s="12">
        <f ca="1">TODAY()</f>
        <v>45917</v>
      </c>
      <c r="B13" s="1">
        <v>92</v>
      </c>
      <c r="C13" s="1" t="s">
        <v>201</v>
      </c>
      <c r="D13" s="1" t="s">
        <v>126</v>
      </c>
      <c r="E13" s="1">
        <v>123123</v>
      </c>
      <c r="F13" s="1" t="s">
        <v>140</v>
      </c>
      <c r="G13" s="1" t="s">
        <v>163</v>
      </c>
    </row>
    <row r="14" spans="1:7" x14ac:dyDescent="0.25">
      <c r="A14" s="12">
        <f ca="1">TODAY()</f>
        <v>45917</v>
      </c>
      <c r="B14" s="1">
        <v>33</v>
      </c>
      <c r="C14" s="1" t="s">
        <v>177</v>
      </c>
      <c r="D14" s="1" t="s">
        <v>136</v>
      </c>
      <c r="E14" s="1">
        <v>53453</v>
      </c>
      <c r="F14" s="1" t="s">
        <v>149</v>
      </c>
      <c r="G14" s="1" t="s">
        <v>163</v>
      </c>
    </row>
    <row r="15" spans="1:7" x14ac:dyDescent="0.25">
      <c r="A15" s="12">
        <f ca="1">TODAY()</f>
        <v>45917</v>
      </c>
      <c r="B15" s="1">
        <v>36</v>
      </c>
      <c r="C15" s="1" t="s">
        <v>179</v>
      </c>
      <c r="D15" s="1" t="s">
        <v>126</v>
      </c>
      <c r="E15" s="1">
        <v>53453</v>
      </c>
      <c r="F15" s="1" t="s">
        <v>140</v>
      </c>
      <c r="G15" s="1" t="s">
        <v>150</v>
      </c>
    </row>
    <row r="16" spans="1:7" x14ac:dyDescent="0.25">
      <c r="A16" s="12">
        <f ca="1">TODAY()</f>
        <v>45917</v>
      </c>
      <c r="B16" s="1">
        <v>44</v>
      </c>
      <c r="C16" s="1" t="s">
        <v>178</v>
      </c>
      <c r="D16" s="1" t="s">
        <v>126</v>
      </c>
      <c r="E16" s="1">
        <v>53453</v>
      </c>
      <c r="F16" s="1" t="s">
        <v>155</v>
      </c>
      <c r="G16" s="1" t="s">
        <v>163</v>
      </c>
    </row>
    <row r="17" spans="1:7" x14ac:dyDescent="0.25">
      <c r="A17" s="12">
        <f ca="1">TODAY()</f>
        <v>45917</v>
      </c>
      <c r="B17" s="1">
        <v>30</v>
      </c>
      <c r="C17" s="1" t="s">
        <v>175</v>
      </c>
      <c r="D17" s="1" t="s">
        <v>126</v>
      </c>
      <c r="E17" s="1">
        <v>53435</v>
      </c>
      <c r="F17" s="1" t="s">
        <v>155</v>
      </c>
      <c r="G17" s="1" t="s">
        <v>141</v>
      </c>
    </row>
    <row r="18" spans="1:7" x14ac:dyDescent="0.25">
      <c r="A18" s="12">
        <f ca="1">TODAY()</f>
        <v>45917</v>
      </c>
      <c r="B18" s="1">
        <v>8</v>
      </c>
      <c r="C18" s="1" t="s">
        <v>156</v>
      </c>
      <c r="D18" s="1" t="s">
        <v>136</v>
      </c>
      <c r="E18" s="1">
        <v>44323</v>
      </c>
      <c r="F18" s="1" t="s">
        <v>155</v>
      </c>
      <c r="G18" s="1" t="s">
        <v>150</v>
      </c>
    </row>
    <row r="19" spans="1:7" x14ac:dyDescent="0.25">
      <c r="A19" s="12">
        <f ca="1">TODAY()</f>
        <v>45917</v>
      </c>
      <c r="B19" s="1">
        <v>100</v>
      </c>
      <c r="C19" s="1" t="s">
        <v>214</v>
      </c>
      <c r="D19" s="1" t="s">
        <v>136</v>
      </c>
      <c r="E19" s="1">
        <v>41232</v>
      </c>
      <c r="F19" s="1" t="s">
        <v>149</v>
      </c>
      <c r="G19" s="1" t="s">
        <v>150</v>
      </c>
    </row>
    <row r="20" spans="1:7" x14ac:dyDescent="0.25">
      <c r="A20" s="12">
        <f ca="1">TODAY()</f>
        <v>45917</v>
      </c>
      <c r="B20" s="1">
        <v>96</v>
      </c>
      <c r="C20" s="1" t="s">
        <v>205</v>
      </c>
      <c r="D20" s="1" t="s">
        <v>136</v>
      </c>
      <c r="E20" s="1">
        <v>32223</v>
      </c>
      <c r="F20" s="1" t="s">
        <v>144</v>
      </c>
      <c r="G20" s="1" t="s">
        <v>141</v>
      </c>
    </row>
    <row r="21" spans="1:7" x14ac:dyDescent="0.25">
      <c r="A21" s="12">
        <f ca="1">TODAY()</f>
        <v>45917</v>
      </c>
      <c r="B21" s="1">
        <v>88</v>
      </c>
      <c r="C21" s="1" t="s">
        <v>212</v>
      </c>
      <c r="D21" s="1" t="s">
        <v>126</v>
      </c>
      <c r="E21" s="1">
        <v>32123</v>
      </c>
      <c r="F21" s="1" t="s">
        <v>153</v>
      </c>
      <c r="G21" s="1" t="s">
        <v>141</v>
      </c>
    </row>
    <row r="22" spans="1:7" x14ac:dyDescent="0.25">
      <c r="A22" s="12">
        <f ca="1">TODAY()</f>
        <v>45917</v>
      </c>
      <c r="B22" s="1">
        <v>89</v>
      </c>
      <c r="C22" s="1" t="s">
        <v>166</v>
      </c>
      <c r="D22" s="1" t="s">
        <v>136</v>
      </c>
      <c r="E22" s="1">
        <v>32121</v>
      </c>
      <c r="F22" s="1" t="s">
        <v>140</v>
      </c>
      <c r="G22" s="1" t="s">
        <v>145</v>
      </c>
    </row>
    <row r="23" spans="1:7" x14ac:dyDescent="0.25">
      <c r="A23" s="12">
        <f ca="1">TODAY()</f>
        <v>45917</v>
      </c>
      <c r="B23" s="1">
        <v>2</v>
      </c>
      <c r="C23" s="1" t="s">
        <v>142</v>
      </c>
      <c r="D23" s="1" t="s">
        <v>138</v>
      </c>
      <c r="E23" s="1">
        <v>31232</v>
      </c>
      <c r="F23" s="1" t="s">
        <v>144</v>
      </c>
      <c r="G23" s="1" t="s">
        <v>145</v>
      </c>
    </row>
    <row r="24" spans="1:7" x14ac:dyDescent="0.25">
      <c r="A24" s="12">
        <f ca="1">TODAY()</f>
        <v>45917</v>
      </c>
      <c r="B24" s="1">
        <v>19</v>
      </c>
      <c r="C24" s="1" t="s">
        <v>166</v>
      </c>
      <c r="D24" s="1" t="s">
        <v>136</v>
      </c>
      <c r="E24" s="1">
        <v>31231</v>
      </c>
      <c r="F24" s="1" t="s">
        <v>149</v>
      </c>
      <c r="G24" s="1" t="s">
        <v>141</v>
      </c>
    </row>
    <row r="25" spans="1:7" x14ac:dyDescent="0.25">
      <c r="A25" s="12">
        <f ca="1">TODAY()</f>
        <v>45917</v>
      </c>
      <c r="B25" s="1">
        <v>73</v>
      </c>
      <c r="C25" s="1" t="s">
        <v>205</v>
      </c>
      <c r="D25" s="1" t="s">
        <v>136</v>
      </c>
      <c r="E25" s="1">
        <v>31223</v>
      </c>
      <c r="F25" s="1" t="s">
        <v>144</v>
      </c>
      <c r="G25" s="1" t="s">
        <v>150</v>
      </c>
    </row>
    <row r="26" spans="1:7" x14ac:dyDescent="0.25">
      <c r="A26" s="12">
        <f ca="1">TODAY()</f>
        <v>45917</v>
      </c>
      <c r="B26" s="1">
        <v>81</v>
      </c>
      <c r="C26" s="1" t="s">
        <v>166</v>
      </c>
      <c r="D26" s="1" t="s">
        <v>136</v>
      </c>
      <c r="E26" s="1">
        <v>23212</v>
      </c>
      <c r="F26" s="1" t="s">
        <v>153</v>
      </c>
      <c r="G26" s="1" t="s">
        <v>163</v>
      </c>
    </row>
    <row r="27" spans="1:7" x14ac:dyDescent="0.25">
      <c r="A27" s="12">
        <f ca="1">TODAY()</f>
        <v>45917</v>
      </c>
      <c r="B27" s="1">
        <v>85</v>
      </c>
      <c r="C27" s="1" t="s">
        <v>209</v>
      </c>
      <c r="D27" s="1" t="s">
        <v>126</v>
      </c>
      <c r="E27" s="1">
        <v>21321</v>
      </c>
      <c r="F27" s="1" t="s">
        <v>155</v>
      </c>
      <c r="G27" s="1" t="s">
        <v>150</v>
      </c>
    </row>
    <row r="28" spans="1:7" x14ac:dyDescent="0.25">
      <c r="A28" s="12">
        <f ca="1">TODAY()</f>
        <v>45917</v>
      </c>
      <c r="B28" s="1">
        <v>94</v>
      </c>
      <c r="C28" s="1" t="s">
        <v>186</v>
      </c>
      <c r="D28" s="1" t="s">
        <v>136</v>
      </c>
      <c r="E28" s="1">
        <v>21312</v>
      </c>
      <c r="F28" s="1" t="s">
        <v>140</v>
      </c>
      <c r="G28" s="1" t="s">
        <v>150</v>
      </c>
    </row>
    <row r="29" spans="1:7" x14ac:dyDescent="0.25">
      <c r="A29" s="12">
        <f ca="1">TODAY()</f>
        <v>45917</v>
      </c>
      <c r="B29" s="1">
        <v>78</v>
      </c>
      <c r="C29" s="1" t="s">
        <v>167</v>
      </c>
      <c r="D29" s="1" t="s">
        <v>126</v>
      </c>
      <c r="E29" s="1">
        <v>21231</v>
      </c>
      <c r="F29" s="1" t="s">
        <v>144</v>
      </c>
      <c r="G29" s="1" t="s">
        <v>145</v>
      </c>
    </row>
    <row r="30" spans="1:7" x14ac:dyDescent="0.25">
      <c r="A30" s="12">
        <f ca="1">TODAY()</f>
        <v>45917</v>
      </c>
      <c r="B30" s="1">
        <v>84</v>
      </c>
      <c r="C30" s="1" t="s">
        <v>208</v>
      </c>
      <c r="D30" s="1" t="s">
        <v>136</v>
      </c>
      <c r="E30" s="1">
        <v>21231</v>
      </c>
      <c r="F30" s="1" t="s">
        <v>155</v>
      </c>
      <c r="G30" s="1" t="s">
        <v>147</v>
      </c>
    </row>
    <row r="31" spans="1:7" x14ac:dyDescent="0.25">
      <c r="A31" s="12">
        <f ca="1">TODAY()</f>
        <v>45917</v>
      </c>
      <c r="B31" s="1">
        <v>76</v>
      </c>
      <c r="C31" s="1" t="s">
        <v>176</v>
      </c>
      <c r="D31" s="1" t="s">
        <v>126</v>
      </c>
      <c r="E31" s="1">
        <v>21123</v>
      </c>
      <c r="F31" s="1" t="s">
        <v>155</v>
      </c>
      <c r="G31" s="1" t="s">
        <v>150</v>
      </c>
    </row>
    <row r="32" spans="1:7" x14ac:dyDescent="0.25">
      <c r="A32" s="12">
        <f ca="1">TODAY()</f>
        <v>45917</v>
      </c>
      <c r="B32" s="1">
        <v>1</v>
      </c>
      <c r="C32" s="1" t="s">
        <v>139</v>
      </c>
      <c r="D32" s="1" t="s">
        <v>126</v>
      </c>
      <c r="E32" s="1">
        <v>18929</v>
      </c>
      <c r="F32" s="1" t="s">
        <v>140</v>
      </c>
      <c r="G32" s="1" t="s">
        <v>141</v>
      </c>
    </row>
    <row r="33" spans="1:7" x14ac:dyDescent="0.25">
      <c r="A33" s="12">
        <f ca="1">TODAY()</f>
        <v>45917</v>
      </c>
      <c r="B33" s="1">
        <v>3</v>
      </c>
      <c r="C33" s="1" t="s">
        <v>679</v>
      </c>
      <c r="D33" s="1" t="s">
        <v>126</v>
      </c>
      <c r="E33" s="1">
        <v>18929</v>
      </c>
      <c r="F33" s="1" t="s">
        <v>140</v>
      </c>
      <c r="G33" s="1" t="s">
        <v>147</v>
      </c>
    </row>
    <row r="34" spans="1:7" x14ac:dyDescent="0.25">
      <c r="A34" s="12">
        <f ca="1">TODAY()</f>
        <v>45917</v>
      </c>
      <c r="B34" s="1">
        <v>5</v>
      </c>
      <c r="C34" s="1" t="s">
        <v>151</v>
      </c>
      <c r="D34" s="1" t="s">
        <v>126</v>
      </c>
      <c r="E34" s="1">
        <v>18929</v>
      </c>
      <c r="F34" s="1" t="s">
        <v>144</v>
      </c>
      <c r="G34" s="1" t="s">
        <v>147</v>
      </c>
    </row>
    <row r="35" spans="1:7" x14ac:dyDescent="0.25">
      <c r="A35" s="12">
        <f ca="1">TODAY()</f>
        <v>45917</v>
      </c>
      <c r="B35" s="1">
        <v>7</v>
      </c>
      <c r="C35" s="1" t="s">
        <v>154</v>
      </c>
      <c r="D35" s="1" t="s">
        <v>126</v>
      </c>
      <c r="E35" s="1">
        <v>18929</v>
      </c>
      <c r="F35" s="1" t="s">
        <v>155</v>
      </c>
      <c r="G35" s="1" t="s">
        <v>141</v>
      </c>
    </row>
    <row r="36" spans="1:7" x14ac:dyDescent="0.25">
      <c r="A36" s="12">
        <f ca="1">TODAY()</f>
        <v>45917</v>
      </c>
      <c r="B36" s="1">
        <v>9</v>
      </c>
      <c r="C36" s="1" t="s">
        <v>157</v>
      </c>
      <c r="D36" s="1" t="s">
        <v>126</v>
      </c>
      <c r="E36" s="1">
        <v>18929</v>
      </c>
      <c r="F36" s="1" t="s">
        <v>144</v>
      </c>
      <c r="G36" s="1" t="s">
        <v>150</v>
      </c>
    </row>
    <row r="37" spans="1:7" x14ac:dyDescent="0.25">
      <c r="A37" s="12">
        <f ca="1">TODAY()</f>
        <v>45917</v>
      </c>
      <c r="B37" s="1">
        <v>11</v>
      </c>
      <c r="C37" s="1" t="s">
        <v>156</v>
      </c>
      <c r="D37" s="1" t="s">
        <v>136</v>
      </c>
      <c r="E37" s="1">
        <v>18929</v>
      </c>
      <c r="F37" s="1" t="s">
        <v>153</v>
      </c>
      <c r="G37" s="1" t="s">
        <v>145</v>
      </c>
    </row>
    <row r="38" spans="1:7" x14ac:dyDescent="0.25">
      <c r="A38" s="12">
        <f ca="1">TODAY()</f>
        <v>45917</v>
      </c>
      <c r="B38" s="1">
        <v>13</v>
      </c>
      <c r="C38" s="1" t="s">
        <v>160</v>
      </c>
      <c r="D38" s="1" t="s">
        <v>126</v>
      </c>
      <c r="E38" s="1">
        <v>18929</v>
      </c>
      <c r="F38" s="1" t="s">
        <v>155</v>
      </c>
      <c r="G38" s="1" t="s">
        <v>150</v>
      </c>
    </row>
    <row r="39" spans="1:7" x14ac:dyDescent="0.25">
      <c r="A39" s="12">
        <f ca="1">TODAY()</f>
        <v>45917</v>
      </c>
      <c r="B39" s="1">
        <v>14</v>
      </c>
      <c r="C39" s="1" t="s">
        <v>161</v>
      </c>
      <c r="D39" s="1" t="s">
        <v>126</v>
      </c>
      <c r="E39" s="1">
        <v>18929</v>
      </c>
      <c r="F39" s="1" t="s">
        <v>140</v>
      </c>
      <c r="G39" s="1" t="s">
        <v>141</v>
      </c>
    </row>
    <row r="40" spans="1:7" x14ac:dyDescent="0.25">
      <c r="A40" s="12">
        <f ca="1">TODAY()</f>
        <v>45917</v>
      </c>
      <c r="B40" s="1">
        <v>15</v>
      </c>
      <c r="C40" s="1" t="s">
        <v>162</v>
      </c>
      <c r="D40" s="1" t="s">
        <v>126</v>
      </c>
      <c r="E40" s="1">
        <v>18929</v>
      </c>
      <c r="F40" s="1" t="s">
        <v>140</v>
      </c>
      <c r="G40" s="1" t="s">
        <v>163</v>
      </c>
    </row>
    <row r="41" spans="1:7" x14ac:dyDescent="0.25">
      <c r="A41" s="12">
        <f ca="1">TODAY()</f>
        <v>45917</v>
      </c>
      <c r="B41" s="1">
        <v>17</v>
      </c>
      <c r="C41" s="1" t="s">
        <v>164</v>
      </c>
      <c r="D41" s="1" t="s">
        <v>138</v>
      </c>
      <c r="E41" s="1">
        <v>18929</v>
      </c>
      <c r="F41" s="1" t="s">
        <v>144</v>
      </c>
      <c r="G41" s="1" t="s">
        <v>147</v>
      </c>
    </row>
    <row r="42" spans="1:7" x14ac:dyDescent="0.25">
      <c r="A42" s="12">
        <f ca="1">TODAY()</f>
        <v>45917</v>
      </c>
      <c r="B42" s="1">
        <v>18</v>
      </c>
      <c r="C42" s="1" t="s">
        <v>165</v>
      </c>
      <c r="D42" s="1" t="s">
        <v>126</v>
      </c>
      <c r="E42" s="1">
        <v>18929</v>
      </c>
      <c r="F42" s="1" t="s">
        <v>140</v>
      </c>
      <c r="G42" s="1" t="s">
        <v>141</v>
      </c>
    </row>
    <row r="43" spans="1:7" x14ac:dyDescent="0.25">
      <c r="A43" s="12">
        <f ca="1">TODAY()</f>
        <v>45917</v>
      </c>
      <c r="B43" s="1">
        <v>20</v>
      </c>
      <c r="C43" s="1" t="s">
        <v>167</v>
      </c>
      <c r="D43" s="1" t="s">
        <v>126</v>
      </c>
      <c r="E43" s="1">
        <v>18929</v>
      </c>
      <c r="F43" s="1" t="s">
        <v>144</v>
      </c>
      <c r="G43" s="1" t="s">
        <v>145</v>
      </c>
    </row>
    <row r="44" spans="1:7" x14ac:dyDescent="0.25">
      <c r="A44" s="12">
        <f ca="1">TODAY()</f>
        <v>45917</v>
      </c>
      <c r="B44" s="1">
        <v>22</v>
      </c>
      <c r="C44" s="1" t="s">
        <v>169</v>
      </c>
      <c r="D44" s="1" t="s">
        <v>136</v>
      </c>
      <c r="E44" s="1">
        <v>18929</v>
      </c>
      <c r="F44" s="1" t="s">
        <v>153</v>
      </c>
      <c r="G44" s="1" t="s">
        <v>163</v>
      </c>
    </row>
    <row r="45" spans="1:7" x14ac:dyDescent="0.25">
      <c r="A45" s="12">
        <f ca="1">TODAY()</f>
        <v>45917</v>
      </c>
      <c r="B45" s="1">
        <v>23</v>
      </c>
      <c r="C45" s="1" t="s">
        <v>170</v>
      </c>
      <c r="D45" s="1" t="s">
        <v>126</v>
      </c>
      <c r="E45" s="1">
        <v>18929</v>
      </c>
      <c r="F45" s="1" t="s">
        <v>149</v>
      </c>
      <c r="G45" s="1" t="s">
        <v>147</v>
      </c>
    </row>
    <row r="46" spans="1:7" x14ac:dyDescent="0.25">
      <c r="A46" s="12">
        <f ca="1">TODAY()</f>
        <v>45917</v>
      </c>
      <c r="B46" s="1">
        <v>25</v>
      </c>
      <c r="C46" s="1" t="s">
        <v>154</v>
      </c>
      <c r="D46" s="1" t="s">
        <v>126</v>
      </c>
      <c r="E46" s="1">
        <v>18929</v>
      </c>
      <c r="F46" s="1" t="s">
        <v>144</v>
      </c>
      <c r="G46" s="1" t="s">
        <v>150</v>
      </c>
    </row>
    <row r="47" spans="1:7" x14ac:dyDescent="0.25">
      <c r="A47" s="12">
        <f ca="1">TODAY()</f>
        <v>45917</v>
      </c>
      <c r="B47" s="1">
        <v>26</v>
      </c>
      <c r="C47" s="1" t="s">
        <v>172</v>
      </c>
      <c r="D47" s="1" t="s">
        <v>126</v>
      </c>
      <c r="E47" s="1">
        <v>18929</v>
      </c>
      <c r="F47" s="1" t="s">
        <v>140</v>
      </c>
      <c r="G47" s="1" t="s">
        <v>150</v>
      </c>
    </row>
    <row r="48" spans="1:7" x14ac:dyDescent="0.25">
      <c r="A48" s="12">
        <f ca="1">TODAY()</f>
        <v>45917</v>
      </c>
      <c r="B48" s="1">
        <v>28</v>
      </c>
      <c r="C48" s="1" t="s">
        <v>173</v>
      </c>
      <c r="D48" s="1" t="s">
        <v>126</v>
      </c>
      <c r="E48" s="1">
        <v>18929</v>
      </c>
      <c r="F48" s="1" t="s">
        <v>153</v>
      </c>
      <c r="G48" s="1" t="s">
        <v>163</v>
      </c>
    </row>
    <row r="49" spans="1:7" x14ac:dyDescent="0.25">
      <c r="A49" s="12">
        <f ca="1">TODAY()</f>
        <v>45917</v>
      </c>
      <c r="B49" s="1">
        <v>29</v>
      </c>
      <c r="C49" s="1" t="s">
        <v>174</v>
      </c>
      <c r="D49" s="1" t="s">
        <v>126</v>
      </c>
      <c r="E49" s="1">
        <v>18929</v>
      </c>
      <c r="F49" s="1" t="s">
        <v>153</v>
      </c>
      <c r="G49" s="1" t="s">
        <v>163</v>
      </c>
    </row>
    <row r="50" spans="1:7" x14ac:dyDescent="0.25">
      <c r="A50" s="12">
        <f ca="1">TODAY()</f>
        <v>45917</v>
      </c>
      <c r="B50" s="1">
        <v>31</v>
      </c>
      <c r="C50" s="1" t="s">
        <v>176</v>
      </c>
      <c r="D50" s="1" t="s">
        <v>126</v>
      </c>
      <c r="E50" s="1">
        <v>18929</v>
      </c>
      <c r="F50" s="1" t="s">
        <v>155</v>
      </c>
      <c r="G50" s="1" t="s">
        <v>163</v>
      </c>
    </row>
    <row r="51" spans="1:7" x14ac:dyDescent="0.25">
      <c r="A51" s="12">
        <f ca="1">TODAY()</f>
        <v>45917</v>
      </c>
      <c r="B51" s="1">
        <v>32</v>
      </c>
      <c r="C51" s="1" t="s">
        <v>146</v>
      </c>
      <c r="D51" s="1" t="s">
        <v>138</v>
      </c>
      <c r="E51" s="1">
        <v>18929</v>
      </c>
      <c r="F51" s="1" t="s">
        <v>153</v>
      </c>
      <c r="G51" s="1" t="s">
        <v>163</v>
      </c>
    </row>
    <row r="52" spans="1:7" x14ac:dyDescent="0.25">
      <c r="A52" s="12">
        <f ca="1">TODAY()</f>
        <v>45917</v>
      </c>
      <c r="B52" s="1">
        <v>34</v>
      </c>
      <c r="C52" s="1" t="s">
        <v>139</v>
      </c>
      <c r="D52" s="1" t="s">
        <v>126</v>
      </c>
      <c r="E52" s="1">
        <v>18929</v>
      </c>
      <c r="F52" s="1" t="s">
        <v>140</v>
      </c>
      <c r="G52" s="1" t="s">
        <v>147</v>
      </c>
    </row>
    <row r="53" spans="1:7" x14ac:dyDescent="0.25">
      <c r="A53" s="12">
        <f ca="1">TODAY()</f>
        <v>45917</v>
      </c>
      <c r="B53" s="1">
        <v>35</v>
      </c>
      <c r="C53" s="1" t="s">
        <v>178</v>
      </c>
      <c r="D53" s="1" t="s">
        <v>126</v>
      </c>
      <c r="E53" s="1">
        <v>18929</v>
      </c>
      <c r="F53" s="1" t="s">
        <v>155</v>
      </c>
      <c r="G53" s="1" t="s">
        <v>163</v>
      </c>
    </row>
    <row r="54" spans="1:7" x14ac:dyDescent="0.25">
      <c r="A54" s="12">
        <f ca="1">TODAY()</f>
        <v>45917</v>
      </c>
      <c r="B54" s="1">
        <v>37</v>
      </c>
      <c r="C54" s="1" t="s">
        <v>166</v>
      </c>
      <c r="D54" s="1" t="s">
        <v>136</v>
      </c>
      <c r="E54" s="1">
        <v>18929</v>
      </c>
      <c r="F54" s="1" t="s">
        <v>155</v>
      </c>
      <c r="G54" s="1" t="s">
        <v>141</v>
      </c>
    </row>
    <row r="55" spans="1:7" x14ac:dyDescent="0.25">
      <c r="A55" s="12">
        <f ca="1">TODAY()</f>
        <v>45917</v>
      </c>
      <c r="B55" s="1">
        <v>38</v>
      </c>
      <c r="C55" s="1" t="s">
        <v>180</v>
      </c>
      <c r="D55" s="1" t="s">
        <v>126</v>
      </c>
      <c r="E55" s="1">
        <v>18929</v>
      </c>
      <c r="F55" s="1" t="s">
        <v>149</v>
      </c>
      <c r="G55" s="1" t="s">
        <v>147</v>
      </c>
    </row>
    <row r="56" spans="1:7" x14ac:dyDescent="0.25">
      <c r="A56" s="12">
        <f ca="1">TODAY()</f>
        <v>45917</v>
      </c>
      <c r="B56" s="1">
        <v>39</v>
      </c>
      <c r="C56" s="1" t="s">
        <v>181</v>
      </c>
      <c r="D56" s="1" t="s">
        <v>138</v>
      </c>
      <c r="E56" s="1">
        <v>18929</v>
      </c>
      <c r="F56" s="1" t="s">
        <v>144</v>
      </c>
      <c r="G56" s="1" t="s">
        <v>150</v>
      </c>
    </row>
    <row r="57" spans="1:7" x14ac:dyDescent="0.25">
      <c r="A57" s="12">
        <f ca="1">TODAY()</f>
        <v>45917</v>
      </c>
      <c r="B57" s="1">
        <v>40</v>
      </c>
      <c r="C57" s="1" t="s">
        <v>182</v>
      </c>
      <c r="D57" s="1" t="s">
        <v>126</v>
      </c>
      <c r="E57" s="1">
        <v>18929</v>
      </c>
      <c r="F57" s="1" t="s">
        <v>155</v>
      </c>
      <c r="G57" s="1" t="s">
        <v>141</v>
      </c>
    </row>
    <row r="58" spans="1:7" x14ac:dyDescent="0.25">
      <c r="A58" s="12">
        <f ca="1">TODAY()</f>
        <v>45917</v>
      </c>
      <c r="B58" s="1">
        <v>41</v>
      </c>
      <c r="C58" s="1" t="s">
        <v>183</v>
      </c>
      <c r="D58" s="1" t="s">
        <v>126</v>
      </c>
      <c r="E58" s="1">
        <v>18929</v>
      </c>
      <c r="F58" s="1" t="s">
        <v>149</v>
      </c>
      <c r="G58" s="1" t="s">
        <v>141</v>
      </c>
    </row>
    <row r="59" spans="1:7" x14ac:dyDescent="0.25">
      <c r="A59" s="12">
        <f ca="1">TODAY()</f>
        <v>45917</v>
      </c>
      <c r="B59" s="1">
        <v>42</v>
      </c>
      <c r="C59" s="1" t="s">
        <v>184</v>
      </c>
      <c r="D59" s="1" t="s">
        <v>126</v>
      </c>
      <c r="E59" s="1">
        <v>18929</v>
      </c>
      <c r="F59" s="1" t="s">
        <v>140</v>
      </c>
      <c r="G59" s="1" t="s">
        <v>147</v>
      </c>
    </row>
    <row r="60" spans="1:7" x14ac:dyDescent="0.25">
      <c r="A60" s="12">
        <f ca="1">TODAY()</f>
        <v>45917</v>
      </c>
      <c r="B60" s="1">
        <v>43</v>
      </c>
      <c r="C60" s="1" t="s">
        <v>185</v>
      </c>
      <c r="D60" s="1" t="s">
        <v>126</v>
      </c>
      <c r="E60" s="1">
        <v>18929</v>
      </c>
      <c r="F60" s="1" t="s">
        <v>140</v>
      </c>
      <c r="G60" s="1" t="s">
        <v>145</v>
      </c>
    </row>
    <row r="61" spans="1:7" x14ac:dyDescent="0.25">
      <c r="A61" s="12">
        <f ca="1">TODAY()</f>
        <v>45917</v>
      </c>
      <c r="B61" s="1">
        <v>45</v>
      </c>
      <c r="C61" s="1" t="s">
        <v>162</v>
      </c>
      <c r="D61" s="1" t="s">
        <v>126</v>
      </c>
      <c r="E61" s="1">
        <v>18929</v>
      </c>
      <c r="F61" s="1" t="s">
        <v>140</v>
      </c>
      <c r="G61" s="1" t="s">
        <v>147</v>
      </c>
    </row>
    <row r="62" spans="1:7" x14ac:dyDescent="0.25">
      <c r="A62" s="12">
        <f ca="1">TODAY()</f>
        <v>45917</v>
      </c>
      <c r="B62" s="1">
        <v>46</v>
      </c>
      <c r="C62" s="1" t="s">
        <v>186</v>
      </c>
      <c r="D62" s="1" t="s">
        <v>126</v>
      </c>
      <c r="E62" s="1">
        <v>18929</v>
      </c>
      <c r="F62" s="1" t="s">
        <v>140</v>
      </c>
      <c r="G62" s="1" t="s">
        <v>141</v>
      </c>
    </row>
    <row r="63" spans="1:7" x14ac:dyDescent="0.25">
      <c r="A63" s="12">
        <f ca="1">TODAY()</f>
        <v>45917</v>
      </c>
      <c r="B63" s="1">
        <v>48</v>
      </c>
      <c r="C63" s="1" t="s">
        <v>176</v>
      </c>
      <c r="D63" s="1" t="s">
        <v>126</v>
      </c>
      <c r="E63" s="1">
        <v>18929</v>
      </c>
      <c r="F63" s="1" t="s">
        <v>140</v>
      </c>
      <c r="G63" s="1" t="s">
        <v>163</v>
      </c>
    </row>
    <row r="64" spans="1:7" x14ac:dyDescent="0.25">
      <c r="A64" s="12">
        <f ca="1">TODAY()</f>
        <v>45917</v>
      </c>
      <c r="B64" s="1">
        <v>49</v>
      </c>
      <c r="C64" s="1" t="s">
        <v>187</v>
      </c>
      <c r="D64" s="1" t="s">
        <v>126</v>
      </c>
      <c r="E64" s="1">
        <v>18929</v>
      </c>
      <c r="F64" s="1" t="s">
        <v>144</v>
      </c>
      <c r="G64" s="1" t="s">
        <v>141</v>
      </c>
    </row>
    <row r="65" spans="1:7" x14ac:dyDescent="0.25">
      <c r="A65" s="12">
        <f ca="1">TODAY()</f>
        <v>45917</v>
      </c>
      <c r="B65" s="1">
        <v>50</v>
      </c>
      <c r="C65" s="1" t="s">
        <v>188</v>
      </c>
      <c r="D65" s="1" t="s">
        <v>126</v>
      </c>
      <c r="E65" s="1">
        <v>18929</v>
      </c>
      <c r="F65" s="1" t="s">
        <v>153</v>
      </c>
      <c r="G65" s="1" t="s">
        <v>145</v>
      </c>
    </row>
    <row r="66" spans="1:7" x14ac:dyDescent="0.25">
      <c r="A66" s="12">
        <f ca="1">TODAY()</f>
        <v>45917</v>
      </c>
      <c r="B66" s="1">
        <v>51</v>
      </c>
      <c r="C66" s="1" t="s">
        <v>189</v>
      </c>
      <c r="D66" s="1" t="s">
        <v>138</v>
      </c>
      <c r="E66" s="1">
        <v>18929</v>
      </c>
      <c r="F66" s="1" t="s">
        <v>149</v>
      </c>
      <c r="G66" s="1" t="s">
        <v>147</v>
      </c>
    </row>
    <row r="67" spans="1:7" x14ac:dyDescent="0.25">
      <c r="A67" s="12">
        <f ca="1">TODAY()</f>
        <v>45917</v>
      </c>
      <c r="B67" s="1">
        <v>52</v>
      </c>
      <c r="C67" s="1" t="s">
        <v>170</v>
      </c>
      <c r="D67" s="1" t="s">
        <v>126</v>
      </c>
      <c r="E67" s="1">
        <v>18929</v>
      </c>
      <c r="F67" s="1" t="s">
        <v>155</v>
      </c>
      <c r="G67" s="1" t="s">
        <v>163</v>
      </c>
    </row>
    <row r="68" spans="1:7" x14ac:dyDescent="0.25">
      <c r="A68" s="12">
        <f ca="1">TODAY()</f>
        <v>45917</v>
      </c>
      <c r="B68" s="1">
        <v>53</v>
      </c>
      <c r="C68" s="1" t="s">
        <v>190</v>
      </c>
      <c r="D68" s="1" t="s">
        <v>126</v>
      </c>
      <c r="E68" s="1">
        <v>18929</v>
      </c>
      <c r="F68" s="1" t="s">
        <v>153</v>
      </c>
      <c r="G68" s="1" t="s">
        <v>145</v>
      </c>
    </row>
    <row r="69" spans="1:7" x14ac:dyDescent="0.25">
      <c r="A69" s="12">
        <f ca="1">TODAY()</f>
        <v>45917</v>
      </c>
      <c r="B69" s="1">
        <v>55</v>
      </c>
      <c r="C69" s="1" t="s">
        <v>192</v>
      </c>
      <c r="D69" s="1" t="s">
        <v>126</v>
      </c>
      <c r="E69" s="1">
        <v>18929</v>
      </c>
      <c r="F69" s="1" t="s">
        <v>149</v>
      </c>
      <c r="G69" s="1" t="s">
        <v>147</v>
      </c>
    </row>
    <row r="70" spans="1:7" x14ac:dyDescent="0.25">
      <c r="A70" s="12">
        <f ca="1">TODAY()</f>
        <v>45917</v>
      </c>
      <c r="B70" s="1">
        <v>56</v>
      </c>
      <c r="C70" s="1" t="s">
        <v>193</v>
      </c>
      <c r="D70" s="1" t="s">
        <v>126</v>
      </c>
      <c r="E70" s="1">
        <v>18929</v>
      </c>
      <c r="F70" s="1" t="s">
        <v>153</v>
      </c>
      <c r="G70" s="1" t="s">
        <v>141</v>
      </c>
    </row>
    <row r="71" spans="1:7" x14ac:dyDescent="0.25">
      <c r="A71" s="12">
        <f ca="1">TODAY()</f>
        <v>45917</v>
      </c>
      <c r="B71" s="1">
        <v>57</v>
      </c>
      <c r="C71" s="1" t="s">
        <v>194</v>
      </c>
      <c r="D71" s="1" t="s">
        <v>126</v>
      </c>
      <c r="E71" s="1">
        <v>18929</v>
      </c>
      <c r="F71" s="1" t="s">
        <v>155</v>
      </c>
      <c r="G71" s="1" t="s">
        <v>141</v>
      </c>
    </row>
    <row r="72" spans="1:7" x14ac:dyDescent="0.25">
      <c r="A72" s="12">
        <f ca="1">TODAY()</f>
        <v>45917</v>
      </c>
      <c r="B72" s="1">
        <v>59</v>
      </c>
      <c r="C72" s="1" t="s">
        <v>154</v>
      </c>
      <c r="D72" s="1" t="s">
        <v>126</v>
      </c>
      <c r="E72" s="1">
        <v>18929</v>
      </c>
      <c r="F72" s="1" t="s">
        <v>140</v>
      </c>
      <c r="G72" s="1" t="s">
        <v>147</v>
      </c>
    </row>
    <row r="73" spans="1:7" x14ac:dyDescent="0.25">
      <c r="A73" s="12">
        <f ca="1">TODAY()</f>
        <v>45917</v>
      </c>
      <c r="B73" s="1">
        <v>61</v>
      </c>
      <c r="C73" s="1" t="s">
        <v>193</v>
      </c>
      <c r="D73" s="1" t="s">
        <v>126</v>
      </c>
      <c r="E73" s="1">
        <v>18929</v>
      </c>
      <c r="F73" s="1" t="s">
        <v>155</v>
      </c>
      <c r="G73" s="1" t="s">
        <v>150</v>
      </c>
    </row>
    <row r="74" spans="1:7" x14ac:dyDescent="0.25">
      <c r="A74" s="12">
        <f ca="1">TODAY()</f>
        <v>45917</v>
      </c>
      <c r="B74" s="1">
        <v>65</v>
      </c>
      <c r="C74" s="1" t="s">
        <v>200</v>
      </c>
      <c r="D74" s="1" t="s">
        <v>137</v>
      </c>
      <c r="E74" s="1">
        <v>18929</v>
      </c>
      <c r="F74" s="1" t="s">
        <v>140</v>
      </c>
      <c r="G74" s="1" t="s">
        <v>163</v>
      </c>
    </row>
    <row r="75" spans="1:7" x14ac:dyDescent="0.25">
      <c r="A75" s="12">
        <f ca="1">TODAY()</f>
        <v>45917</v>
      </c>
      <c r="B75" s="1">
        <v>66</v>
      </c>
      <c r="C75" s="1" t="s">
        <v>201</v>
      </c>
      <c r="D75" s="1" t="s">
        <v>126</v>
      </c>
      <c r="E75" s="1">
        <v>18929</v>
      </c>
      <c r="F75" s="1" t="s">
        <v>149</v>
      </c>
      <c r="G75" s="1" t="s">
        <v>141</v>
      </c>
    </row>
    <row r="76" spans="1:7" x14ac:dyDescent="0.25">
      <c r="A76" s="12">
        <f ca="1">TODAY()</f>
        <v>45917</v>
      </c>
      <c r="B76" s="1">
        <v>68</v>
      </c>
      <c r="C76" s="1" t="s">
        <v>202</v>
      </c>
      <c r="D76" s="1" t="s">
        <v>152</v>
      </c>
      <c r="E76" s="1">
        <v>18929</v>
      </c>
      <c r="F76" s="1" t="s">
        <v>140</v>
      </c>
      <c r="G76" s="1" t="s">
        <v>150</v>
      </c>
    </row>
    <row r="77" spans="1:7" x14ac:dyDescent="0.25">
      <c r="A77" s="12">
        <f ca="1">TODAY()</f>
        <v>45917</v>
      </c>
      <c r="B77" s="1">
        <v>69</v>
      </c>
      <c r="C77" s="1" t="s">
        <v>203</v>
      </c>
      <c r="D77" s="1" t="s">
        <v>138</v>
      </c>
      <c r="E77" s="1">
        <v>18929</v>
      </c>
      <c r="F77" s="1" t="s">
        <v>153</v>
      </c>
      <c r="G77" s="1" t="s">
        <v>163</v>
      </c>
    </row>
    <row r="78" spans="1:7" x14ac:dyDescent="0.25">
      <c r="A78" s="12">
        <f ca="1">TODAY()</f>
        <v>45917</v>
      </c>
      <c r="B78" s="1">
        <v>70</v>
      </c>
      <c r="C78" s="1" t="s">
        <v>168</v>
      </c>
      <c r="D78" s="1" t="s">
        <v>126</v>
      </c>
      <c r="E78" s="1">
        <v>18929</v>
      </c>
      <c r="F78" s="1" t="s">
        <v>144</v>
      </c>
      <c r="G78" s="1" t="s">
        <v>147</v>
      </c>
    </row>
    <row r="79" spans="1:7" x14ac:dyDescent="0.25">
      <c r="A79" s="12">
        <f ca="1">TODAY()</f>
        <v>45917</v>
      </c>
      <c r="B79" s="1">
        <v>71</v>
      </c>
      <c r="C79" s="1" t="s">
        <v>189</v>
      </c>
      <c r="D79" s="1" t="s">
        <v>138</v>
      </c>
      <c r="E79" s="1">
        <v>18929</v>
      </c>
      <c r="F79" s="1" t="s">
        <v>153</v>
      </c>
      <c r="G79" s="1" t="s">
        <v>163</v>
      </c>
    </row>
    <row r="80" spans="1:7" x14ac:dyDescent="0.25">
      <c r="A80" s="12">
        <f ca="1">TODAY()</f>
        <v>45917</v>
      </c>
      <c r="B80" s="1">
        <v>72</v>
      </c>
      <c r="C80" s="1" t="s">
        <v>204</v>
      </c>
      <c r="D80" s="1" t="s">
        <v>678</v>
      </c>
      <c r="E80" s="1">
        <v>18929</v>
      </c>
      <c r="F80" s="1" t="s">
        <v>140</v>
      </c>
      <c r="G80" s="1" t="s">
        <v>145</v>
      </c>
    </row>
    <row r="81" spans="1:7" x14ac:dyDescent="0.25">
      <c r="A81" s="12">
        <f ca="1">TODAY()</f>
        <v>45917</v>
      </c>
      <c r="B81" s="1">
        <v>79</v>
      </c>
      <c r="C81" s="1" t="s">
        <v>207</v>
      </c>
      <c r="D81" s="1" t="s">
        <v>138</v>
      </c>
      <c r="E81" s="1">
        <v>18929</v>
      </c>
      <c r="F81" s="1" t="s">
        <v>153</v>
      </c>
      <c r="G81" s="1" t="s">
        <v>163</v>
      </c>
    </row>
    <row r="82" spans="1:7" x14ac:dyDescent="0.25">
      <c r="A82" s="12">
        <f ca="1">TODAY()</f>
        <v>45917</v>
      </c>
      <c r="B82" s="1">
        <v>80</v>
      </c>
      <c r="C82" s="1" t="s">
        <v>158</v>
      </c>
      <c r="D82" s="1" t="s">
        <v>138</v>
      </c>
      <c r="E82" s="1">
        <v>18929</v>
      </c>
      <c r="F82" s="1" t="s">
        <v>149</v>
      </c>
      <c r="G82" s="1" t="s">
        <v>150</v>
      </c>
    </row>
    <row r="83" spans="1:7" x14ac:dyDescent="0.25">
      <c r="A83" s="12">
        <f ca="1">TODAY()</f>
        <v>45917</v>
      </c>
      <c r="B83" s="1">
        <v>86</v>
      </c>
      <c r="C83" s="1" t="s">
        <v>210</v>
      </c>
      <c r="D83" s="1" t="s">
        <v>126</v>
      </c>
      <c r="E83" s="1">
        <v>18929</v>
      </c>
      <c r="F83" s="1" t="s">
        <v>153</v>
      </c>
      <c r="G83" s="1" t="s">
        <v>150</v>
      </c>
    </row>
    <row r="84" spans="1:7" x14ac:dyDescent="0.25">
      <c r="A84" s="12">
        <f ca="1">TODAY()</f>
        <v>45917</v>
      </c>
      <c r="B84" s="1">
        <v>87</v>
      </c>
      <c r="C84" s="1" t="s">
        <v>211</v>
      </c>
      <c r="D84" s="1" t="s">
        <v>136</v>
      </c>
      <c r="E84" s="1">
        <v>18929</v>
      </c>
      <c r="F84" s="1" t="s">
        <v>149</v>
      </c>
      <c r="G84" s="1" t="s">
        <v>147</v>
      </c>
    </row>
    <row r="85" spans="1:7" x14ac:dyDescent="0.25">
      <c r="A85" s="12">
        <f ca="1">TODAY()</f>
        <v>45917</v>
      </c>
      <c r="B85" s="1">
        <v>93</v>
      </c>
      <c r="C85" s="1" t="s">
        <v>168</v>
      </c>
      <c r="D85" s="1" t="s">
        <v>126</v>
      </c>
      <c r="E85" s="1">
        <v>18929</v>
      </c>
      <c r="F85" s="1" t="s">
        <v>144</v>
      </c>
      <c r="G85" s="1" t="s">
        <v>147</v>
      </c>
    </row>
    <row r="86" spans="1:7" x14ac:dyDescent="0.25">
      <c r="A86" s="12">
        <f ca="1">TODAY()</f>
        <v>45917</v>
      </c>
      <c r="B86" s="1">
        <v>95</v>
      </c>
      <c r="C86" s="1" t="s">
        <v>213</v>
      </c>
      <c r="D86" s="1" t="s">
        <v>126</v>
      </c>
      <c r="E86" s="1">
        <v>18929</v>
      </c>
      <c r="F86" s="1" t="s">
        <v>149</v>
      </c>
      <c r="G86" s="1" t="s">
        <v>163</v>
      </c>
    </row>
    <row r="87" spans="1:7" x14ac:dyDescent="0.25">
      <c r="A87" s="12">
        <f ca="1">TODAY()</f>
        <v>45917</v>
      </c>
      <c r="B87" s="1">
        <v>97</v>
      </c>
      <c r="C87" s="1" t="s">
        <v>158</v>
      </c>
      <c r="D87" s="1" t="s">
        <v>138</v>
      </c>
      <c r="E87" s="1">
        <v>18929</v>
      </c>
      <c r="F87" s="1" t="s">
        <v>140</v>
      </c>
      <c r="G87" s="1" t="s">
        <v>163</v>
      </c>
    </row>
    <row r="88" spans="1:7" x14ac:dyDescent="0.25">
      <c r="A88" s="12">
        <f ca="1">TODAY()</f>
        <v>45917</v>
      </c>
      <c r="B88" s="1">
        <v>74</v>
      </c>
      <c r="C88" s="1" t="s">
        <v>133</v>
      </c>
      <c r="D88" s="1" t="s">
        <v>126</v>
      </c>
      <c r="E88" s="1">
        <v>12323</v>
      </c>
      <c r="F88" s="1" t="s">
        <v>153</v>
      </c>
      <c r="G88" s="1" t="s">
        <v>147</v>
      </c>
    </row>
    <row r="89" spans="1:7" x14ac:dyDescent="0.25">
      <c r="A89" s="12">
        <f ca="1">TODAY()</f>
        <v>45917</v>
      </c>
      <c r="B89" s="1">
        <v>75</v>
      </c>
      <c r="C89" s="1" t="s">
        <v>169</v>
      </c>
      <c r="D89" s="1" t="s">
        <v>136</v>
      </c>
      <c r="E89" s="1">
        <v>12312</v>
      </c>
      <c r="F89" s="1" t="s">
        <v>144</v>
      </c>
      <c r="G89" s="1" t="s">
        <v>145</v>
      </c>
    </row>
    <row r="90" spans="1:7" x14ac:dyDescent="0.25">
      <c r="A90" s="12">
        <f ca="1">TODAY()</f>
        <v>45917</v>
      </c>
      <c r="B90" s="1">
        <v>77</v>
      </c>
      <c r="C90" s="1" t="s">
        <v>206</v>
      </c>
      <c r="D90" s="1" t="s">
        <v>138</v>
      </c>
      <c r="E90" s="1">
        <v>12312</v>
      </c>
      <c r="F90" s="1" t="s">
        <v>155</v>
      </c>
      <c r="G90" s="1" t="s">
        <v>150</v>
      </c>
    </row>
    <row r="91" spans="1:7" x14ac:dyDescent="0.25">
      <c r="A91" s="12">
        <f ca="1">TODAY()</f>
        <v>45917</v>
      </c>
      <c r="B91" s="1">
        <v>82</v>
      </c>
      <c r="C91" s="1" t="s">
        <v>154</v>
      </c>
      <c r="D91" s="1" t="s">
        <v>126</v>
      </c>
      <c r="E91" s="1">
        <v>12312</v>
      </c>
      <c r="F91" s="1" t="s">
        <v>155</v>
      </c>
      <c r="G91" s="1" t="s">
        <v>163</v>
      </c>
    </row>
    <row r="92" spans="1:7" x14ac:dyDescent="0.25">
      <c r="A92" s="12">
        <f ca="1">TODAY()</f>
        <v>45917</v>
      </c>
      <c r="B92" s="1">
        <v>83</v>
      </c>
      <c r="C92" s="1" t="s">
        <v>180</v>
      </c>
      <c r="D92" s="1" t="s">
        <v>126</v>
      </c>
      <c r="E92" s="1">
        <v>12312</v>
      </c>
      <c r="F92" s="1" t="s">
        <v>153</v>
      </c>
      <c r="G92" s="1" t="s">
        <v>147</v>
      </c>
    </row>
    <row r="93" spans="1:7" x14ac:dyDescent="0.25">
      <c r="A93" s="12">
        <f ca="1">TODAY()</f>
        <v>45917</v>
      </c>
      <c r="B93" s="1">
        <v>12</v>
      </c>
      <c r="C93" s="1" t="s">
        <v>159</v>
      </c>
      <c r="D93" s="1" t="s">
        <v>126</v>
      </c>
      <c r="E93" s="1">
        <v>12124</v>
      </c>
      <c r="F93" s="1" t="s">
        <v>155</v>
      </c>
      <c r="G93" s="1" t="s">
        <v>141</v>
      </c>
    </row>
    <row r="94" spans="1:7" x14ac:dyDescent="0.25">
      <c r="A94" s="12">
        <f ca="1">TODAY()</f>
        <v>45917</v>
      </c>
      <c r="B94" s="1">
        <v>47</v>
      </c>
      <c r="C94" s="1" t="s">
        <v>148</v>
      </c>
      <c r="D94" s="1" t="s">
        <v>126</v>
      </c>
      <c r="E94" s="1">
        <v>5345</v>
      </c>
      <c r="F94" s="1" t="s">
        <v>155</v>
      </c>
      <c r="G94" s="1" t="s">
        <v>150</v>
      </c>
    </row>
    <row r="95" spans="1:7" x14ac:dyDescent="0.25">
      <c r="A95" s="12">
        <f ca="1">TODAY()</f>
        <v>45917</v>
      </c>
      <c r="B95" s="1">
        <v>99</v>
      </c>
      <c r="C95" s="1" t="s">
        <v>148</v>
      </c>
      <c r="D95" s="1" t="s">
        <v>126</v>
      </c>
      <c r="E95" s="1">
        <v>4232</v>
      </c>
      <c r="F95" s="1" t="s">
        <v>140</v>
      </c>
      <c r="G95" s="1" t="s">
        <v>163</v>
      </c>
    </row>
    <row r="96" spans="1:7" x14ac:dyDescent="0.25">
      <c r="A96" s="12">
        <f ca="1">TODAY()</f>
        <v>45917</v>
      </c>
      <c r="B96" s="1">
        <v>67</v>
      </c>
      <c r="C96" s="1" t="s">
        <v>195</v>
      </c>
      <c r="D96" s="1" t="s">
        <v>126</v>
      </c>
      <c r="E96" s="1">
        <v>4123</v>
      </c>
      <c r="F96" s="1" t="s">
        <v>155</v>
      </c>
      <c r="G96" s="1" t="s">
        <v>141</v>
      </c>
    </row>
    <row r="97" spans="1:7" x14ac:dyDescent="0.25">
      <c r="A97" s="12">
        <f ca="1">TODAY()</f>
        <v>45917</v>
      </c>
      <c r="B97" s="1">
        <v>58</v>
      </c>
      <c r="C97" s="1" t="s">
        <v>195</v>
      </c>
      <c r="D97" s="1" t="s">
        <v>126</v>
      </c>
      <c r="E97" s="1">
        <v>3242</v>
      </c>
      <c r="F97" s="1" t="s">
        <v>149</v>
      </c>
      <c r="G97" s="1" t="s">
        <v>147</v>
      </c>
    </row>
    <row r="98" spans="1:7" x14ac:dyDescent="0.25">
      <c r="A98" s="12">
        <f ca="1">TODAY()</f>
        <v>45917</v>
      </c>
      <c r="B98" s="1">
        <v>63</v>
      </c>
      <c r="C98" s="1" t="s">
        <v>198</v>
      </c>
      <c r="D98" s="1" t="s">
        <v>126</v>
      </c>
      <c r="E98" s="1">
        <v>3221</v>
      </c>
      <c r="F98" s="1" t="s">
        <v>144</v>
      </c>
      <c r="G98" s="1" t="s">
        <v>163</v>
      </c>
    </row>
    <row r="99" spans="1:7" x14ac:dyDescent="0.25">
      <c r="A99" s="12">
        <f ca="1">TODAY()</f>
        <v>45917</v>
      </c>
      <c r="B99" s="1">
        <v>24</v>
      </c>
      <c r="C99" s="1" t="s">
        <v>171</v>
      </c>
      <c r="D99" s="1" t="s">
        <v>126</v>
      </c>
      <c r="E99" s="1">
        <v>3124</v>
      </c>
      <c r="F99" s="1" t="s">
        <v>153</v>
      </c>
      <c r="G99" s="1" t="s">
        <v>141</v>
      </c>
    </row>
    <row r="100" spans="1:7" x14ac:dyDescent="0.25">
      <c r="A100" s="12">
        <f ca="1">TODAY()</f>
        <v>45917</v>
      </c>
      <c r="B100" s="1">
        <v>4</v>
      </c>
      <c r="C100" s="1" t="s">
        <v>148</v>
      </c>
      <c r="D100" s="1" t="s">
        <v>126</v>
      </c>
      <c r="E100" s="1">
        <v>3123</v>
      </c>
      <c r="F100" s="1" t="s">
        <v>149</v>
      </c>
      <c r="G100" s="1" t="s">
        <v>150</v>
      </c>
    </row>
    <row r="101" spans="1:7" x14ac:dyDescent="0.25">
      <c r="A101" s="12">
        <f ca="1">TODAY()</f>
        <v>45917</v>
      </c>
      <c r="B101" s="1">
        <v>16</v>
      </c>
      <c r="C101" s="1" t="s">
        <v>162</v>
      </c>
      <c r="D101" s="1" t="s">
        <v>126</v>
      </c>
      <c r="E101" s="1">
        <v>3123</v>
      </c>
      <c r="F101" s="1" t="s">
        <v>149</v>
      </c>
      <c r="G101" s="1" t="s">
        <v>147</v>
      </c>
    </row>
    <row r="102" spans="1:7" x14ac:dyDescent="0.25">
      <c r="A102" s="12">
        <f ca="1">TODAY()</f>
        <v>45917</v>
      </c>
      <c r="B102" s="1">
        <v>60</v>
      </c>
      <c r="C102" s="1" t="s">
        <v>196</v>
      </c>
      <c r="D102" s="1" t="s">
        <v>138</v>
      </c>
      <c r="E102" s="1">
        <v>3123</v>
      </c>
      <c r="F102" s="1" t="s">
        <v>155</v>
      </c>
      <c r="G102" s="1" t="s">
        <v>150</v>
      </c>
    </row>
    <row r="103" spans="1:7" x14ac:dyDescent="0.25">
      <c r="A103" s="12">
        <f ca="1">TODAY()</f>
        <v>45917</v>
      </c>
      <c r="B103" s="1">
        <v>54</v>
      </c>
      <c r="C103" s="1" t="s">
        <v>191</v>
      </c>
      <c r="D103" s="1" t="s">
        <v>126</v>
      </c>
      <c r="E103" s="1">
        <v>1323</v>
      </c>
      <c r="F103" s="1" t="s">
        <v>144</v>
      </c>
      <c r="G103" s="1" t="s">
        <v>145</v>
      </c>
    </row>
    <row r="104" spans="1:7" x14ac:dyDescent="0.25">
      <c r="A104" s="12">
        <f ca="1">TODAY()</f>
        <v>45917</v>
      </c>
      <c r="B104" s="1">
        <v>6</v>
      </c>
      <c r="C104" s="1" t="s">
        <v>146</v>
      </c>
      <c r="D104" s="1" t="s">
        <v>138</v>
      </c>
      <c r="E104" s="1">
        <v>1231</v>
      </c>
      <c r="F104" s="1" t="s">
        <v>153</v>
      </c>
      <c r="G104" s="1" t="s">
        <v>147</v>
      </c>
    </row>
    <row r="105" spans="1:7" x14ac:dyDescent="0.25">
      <c r="A105" s="12">
        <f ca="1">TODAY()</f>
        <v>45917</v>
      </c>
      <c r="B105" s="1">
        <v>62</v>
      </c>
      <c r="C105" s="1" t="s">
        <v>197</v>
      </c>
      <c r="D105" s="1" t="s">
        <v>138</v>
      </c>
      <c r="E105" s="1">
        <v>1231</v>
      </c>
      <c r="F105" s="1" t="s">
        <v>153</v>
      </c>
      <c r="G105" s="1" t="s">
        <v>163</v>
      </c>
    </row>
    <row r="106" spans="1:7" x14ac:dyDescent="0.25">
      <c r="A106" s="12">
        <f ca="1">TODAY()</f>
        <v>45917</v>
      </c>
      <c r="B106" s="1">
        <v>27</v>
      </c>
      <c r="C106" s="1" t="s">
        <v>171</v>
      </c>
      <c r="D106" s="1" t="s">
        <v>126</v>
      </c>
      <c r="E106" s="1">
        <v>543</v>
      </c>
      <c r="F106" s="1" t="s">
        <v>153</v>
      </c>
      <c r="G106" s="1" t="s">
        <v>147</v>
      </c>
    </row>
    <row r="107" spans="1:7" x14ac:dyDescent="0.25">
      <c r="A107" s="12">
        <f ca="1">TODAY()</f>
        <v>45917</v>
      </c>
      <c r="B107" s="1">
        <v>64</v>
      </c>
      <c r="C107" s="1" t="s">
        <v>199</v>
      </c>
      <c r="D107" s="1" t="s">
        <v>126</v>
      </c>
      <c r="E107" s="1">
        <v>432</v>
      </c>
      <c r="F107" s="1" t="s">
        <v>155</v>
      </c>
      <c r="G107" s="1" t="s">
        <v>147</v>
      </c>
    </row>
    <row r="108" spans="1:7" x14ac:dyDescent="0.25">
      <c r="A108" s="12">
        <f ca="1">TODAY()</f>
        <v>45917</v>
      </c>
      <c r="B108" s="1">
        <v>10</v>
      </c>
      <c r="C108" s="1" t="s">
        <v>158</v>
      </c>
      <c r="D108" s="1" t="s">
        <v>138</v>
      </c>
      <c r="E108" s="1">
        <v>423</v>
      </c>
      <c r="F108" s="1" t="s">
        <v>144</v>
      </c>
      <c r="G108" s="1" t="s">
        <v>147</v>
      </c>
    </row>
    <row r="109" spans="1:7" x14ac:dyDescent="0.25">
      <c r="A109" s="12">
        <f ca="1">TODAY()</f>
        <v>45917</v>
      </c>
      <c r="B109" s="1">
        <v>21</v>
      </c>
      <c r="C109" s="1" t="s">
        <v>168</v>
      </c>
      <c r="D109" s="1" t="s">
        <v>126</v>
      </c>
      <c r="E109" s="1">
        <v>412</v>
      </c>
      <c r="F109" s="1" t="s">
        <v>155</v>
      </c>
      <c r="G109" s="1" t="s">
        <v>163</v>
      </c>
    </row>
  </sheetData>
  <autoFilter ref="A9:G109" xr:uid="{B2C9BECC-A37F-4DCA-9D8B-3D8321D887F6}">
    <sortState xmlns:xlrd2="http://schemas.microsoft.com/office/spreadsheetml/2017/richdata2" ref="A10:G109">
      <sortCondition descending="1" ref="E9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Fornecedores</vt:lpstr>
      <vt:lpstr>Produtos</vt:lpstr>
      <vt:lpstr>Relátorios</vt:lpstr>
      <vt:lpstr>Td6</vt:lpstr>
      <vt:lpstr>Td7</vt:lpstr>
      <vt:lpstr>Td8</vt:lpstr>
      <vt:lpstr>Td9</vt:lpstr>
      <vt:lpstr>Td10</vt:lpstr>
      <vt:lpstr>Saída</vt:lpstr>
      <vt:lpstr>Clientes</vt:lpstr>
      <vt:lpstr>Modelagem</vt:lpstr>
      <vt:lpstr>Td1</vt:lpstr>
      <vt:lpstr>Td2</vt:lpstr>
      <vt:lpstr>Td3</vt:lpstr>
      <vt:lpstr>Td4</vt:lpstr>
      <vt:lpstr>Td5</vt:lpstr>
      <vt:lpstr>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airton junior</dc:creator>
  <cp:lastModifiedBy>airton junior</cp:lastModifiedBy>
  <dcterms:created xsi:type="dcterms:W3CDTF">2025-09-04T00:08:31Z</dcterms:created>
  <dcterms:modified xsi:type="dcterms:W3CDTF">2025-09-18T00:19:01Z</dcterms:modified>
</cp:coreProperties>
</file>