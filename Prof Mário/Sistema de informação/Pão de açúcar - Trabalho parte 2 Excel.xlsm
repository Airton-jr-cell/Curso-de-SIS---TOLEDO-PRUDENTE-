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e63c3c1b071bac/Documentos/GitHub/Curso-de-SIS---TOLEDO-PRUDENTE-/Prof Mário/Sistema de informação/"/>
    </mc:Choice>
  </mc:AlternateContent>
  <xr:revisionPtr revIDLastSave="0" documentId="8_{0D1311E3-C312-49FF-B22D-46CAD43F377D}" xr6:coauthVersionLast="47" xr6:coauthVersionMax="47" xr10:uidLastSave="{00000000-0000-0000-0000-000000000000}"/>
  <bookViews>
    <workbookView xWindow="-120" yWindow="-120" windowWidth="29040" windowHeight="15720" activeTab="1" xr2:uid="{8E82923D-454A-4E0C-9D6E-723723B5E74F}"/>
  </bookViews>
  <sheets>
    <sheet name="Fornecedores" sheetId="4" r:id="rId1"/>
    <sheet name="Produtos" sheetId="5" r:id="rId2"/>
    <sheet name="Saída" sheetId="6" r:id="rId3"/>
    <sheet name="Clientes" sheetId="1" r:id="rId4"/>
    <sheet name="Modelagem" sheetId="3" r:id="rId5"/>
    <sheet name="Entrada" sheetId="7" r:id="rId6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5" l="1"/>
  <c r="F12" i="5"/>
  <c r="E12" i="5"/>
  <c r="D12" i="5" s="1"/>
  <c r="I12" i="5" s="1"/>
  <c r="F13" i="5"/>
  <c r="E13" i="5"/>
  <c r="D13" i="5" s="1"/>
  <c r="I13" i="5" s="1"/>
  <c r="F14" i="5"/>
  <c r="E14" i="5"/>
  <c r="D14" i="5" s="1"/>
  <c r="I14" i="5" s="1"/>
  <c r="F15" i="5"/>
  <c r="E15" i="5"/>
  <c r="D15" i="5" s="1"/>
  <c r="I15" i="5" s="1"/>
  <c r="F16" i="5"/>
  <c r="E16" i="5"/>
  <c r="D16" i="5" s="1"/>
  <c r="I16" i="5" s="1"/>
  <c r="F17" i="5"/>
  <c r="E17" i="5"/>
  <c r="F18" i="5"/>
  <c r="E18" i="5"/>
  <c r="F19" i="5"/>
  <c r="E19" i="5"/>
  <c r="F20" i="5"/>
  <c r="E20" i="5"/>
  <c r="F21" i="5"/>
  <c r="E21" i="5"/>
  <c r="F22" i="5"/>
  <c r="E22" i="5"/>
  <c r="F23" i="5"/>
  <c r="E23" i="5"/>
  <c r="F24" i="5"/>
  <c r="E24" i="5"/>
  <c r="F25" i="5"/>
  <c r="E25" i="5"/>
  <c r="F26" i="5"/>
  <c r="E26" i="5"/>
  <c r="F27" i="5"/>
  <c r="E27" i="5"/>
  <c r="F28" i="5"/>
  <c r="E28" i="5"/>
  <c r="F29" i="5"/>
  <c r="E29" i="5"/>
  <c r="F30" i="5"/>
  <c r="E30" i="5"/>
  <c r="F31" i="5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0" i="7"/>
  <c r="B1" i="6"/>
  <c r="B2" i="6"/>
  <c r="B4" i="6"/>
  <c r="B5" i="6"/>
  <c r="B8" i="6"/>
  <c r="B1" i="7"/>
  <c r="D17" i="5" l="1"/>
  <c r="I17" i="5" s="1"/>
  <c r="D18" i="5"/>
  <c r="I18" i="5" s="1"/>
  <c r="D19" i="5"/>
  <c r="I19" i="5" s="1"/>
  <c r="D20" i="5"/>
  <c r="I20" i="5" s="1"/>
  <c r="D21" i="5"/>
  <c r="I21" i="5" s="1"/>
  <c r="D22" i="5"/>
  <c r="I22" i="5" s="1"/>
  <c r="D29" i="5"/>
  <c r="I29" i="5" s="1"/>
  <c r="D24" i="5"/>
  <c r="I24" i="5" s="1"/>
  <c r="D25" i="5"/>
  <c r="I25" i="5" s="1"/>
  <c r="D26" i="5"/>
  <c r="I26" i="5" s="1"/>
  <c r="D27" i="5"/>
  <c r="I27" i="5" s="1"/>
  <c r="D23" i="5"/>
  <c r="I23" i="5" s="1"/>
  <c r="D28" i="5"/>
  <c r="I28" i="5" s="1"/>
  <c r="D30" i="5"/>
  <c r="I30" i="5" s="1"/>
  <c r="D31" i="5"/>
  <c r="I31" i="5" s="1"/>
</calcChain>
</file>

<file path=xl/sharedStrings.xml><?xml version="1.0" encoding="utf-8"?>
<sst xmlns="http://schemas.openxmlformats.org/spreadsheetml/2006/main" count="2048" uniqueCount="698">
  <si>
    <t>Estado</t>
  </si>
  <si>
    <t>Endereço</t>
  </si>
  <si>
    <t>Cidade</t>
  </si>
  <si>
    <t>Fone</t>
  </si>
  <si>
    <t>CPF</t>
  </si>
  <si>
    <t>Nome</t>
  </si>
  <si>
    <t>incluir</t>
  </si>
  <si>
    <t>excluir</t>
  </si>
  <si>
    <t>apagar</t>
  </si>
  <si>
    <t>SP</t>
  </si>
  <si>
    <t>Ana Paula Mendes</t>
  </si>
  <si>
    <t>123.456.789-01</t>
  </si>
  <si>
    <t>(11) 99876-1234</t>
  </si>
  <si>
    <t>São Paulo</t>
  </si>
  <si>
    <t>Rua das Flores, 120 – Bela Vista</t>
  </si>
  <si>
    <t>987.654.321-00</t>
  </si>
  <si>
    <t>João Carlos Ribeiro</t>
  </si>
  <si>
    <t>(11) 99765-4321</t>
  </si>
  <si>
    <t>Guarulhos</t>
  </si>
  <si>
    <t>Av. Paulista, 950 – Centro</t>
  </si>
  <si>
    <t>234.567.890-12</t>
  </si>
  <si>
    <t>Fernanda Lima</t>
  </si>
  <si>
    <t>(21) 98877-3344</t>
  </si>
  <si>
    <t>Rio de Janeiro</t>
  </si>
  <si>
    <t>RJ</t>
  </si>
  <si>
    <t>Rua Atlântica, 350 – Copacabana</t>
  </si>
  <si>
    <t>345.678.901-23</t>
  </si>
  <si>
    <t>Marcos Silva</t>
  </si>
  <si>
    <t>(31) 98888-5566</t>
  </si>
  <si>
    <t>Belo Horizonte</t>
  </si>
  <si>
    <t>MG</t>
  </si>
  <si>
    <t>Av. Afonso Pena, 1050 – Centro</t>
  </si>
  <si>
    <t>456.789.012-34</t>
  </si>
  <si>
    <t>Camila Rocha</t>
  </si>
  <si>
    <t>(19) 98765-7788</t>
  </si>
  <si>
    <t>Campinas</t>
  </si>
  <si>
    <t>Rua Barão de Jaguara, 210 – Cambuí</t>
  </si>
  <si>
    <t>67.890.123-45</t>
  </si>
  <si>
    <t>Pedro Henrique Souza</t>
  </si>
  <si>
    <t>(41) 97654-8899</t>
  </si>
  <si>
    <t>Curitiba</t>
  </si>
  <si>
    <t>PR</t>
  </si>
  <si>
    <t>Rua XV de Novembro, 400 – Centro</t>
  </si>
  <si>
    <t>999.000.111-22</t>
  </si>
  <si>
    <t>Gabriela Torres</t>
  </si>
  <si>
    <t>(86) 94321-1414</t>
  </si>
  <si>
    <t>Teresina</t>
  </si>
  <si>
    <t>PI</t>
  </si>
  <si>
    <t>Av. Frei Serafim, 300 – Centro</t>
  </si>
  <si>
    <t>666.777.888-99</t>
  </si>
  <si>
    <t>Thiago Correia</t>
  </si>
  <si>
    <t>(95) 97654-1010</t>
  </si>
  <si>
    <t>Boa Vista</t>
  </si>
  <si>
    <t>RR</t>
  </si>
  <si>
    <t>Rua Sebastião Diniz, 85 – Centro</t>
  </si>
  <si>
    <t>111.222.333-44</t>
  </si>
  <si>
    <t>Tatiane Martins</t>
  </si>
  <si>
    <t>(27) 92109-5566</t>
  </si>
  <si>
    <t>Vitória</t>
  </si>
  <si>
    <t>ES</t>
  </si>
  <si>
    <t>Rua Sete de Setembro, 45 – Centro</t>
  </si>
  <si>
    <t>901.234.567-89</t>
  </si>
  <si>
    <t>Lucas Oliveira</t>
  </si>
  <si>
    <t>(61) 93210-4455</t>
  </si>
  <si>
    <t>Brasília</t>
  </si>
  <si>
    <t>DF</t>
  </si>
  <si>
    <t>SQS 308, Bloco A, Apt. 201 – Asa Sul</t>
  </si>
  <si>
    <t>890.123.456-78</t>
  </si>
  <si>
    <t>Beatriz Fernandes</t>
  </si>
  <si>
    <t>(85) 94321-3344</t>
  </si>
  <si>
    <t>Fortaleza</t>
  </si>
  <si>
    <t>CE</t>
  </si>
  <si>
    <t>Av. Beira Mar, 980 – Meireles</t>
  </si>
  <si>
    <t>555.666.777-88</t>
  </si>
  <si>
    <t>Patrícia Andrade</t>
  </si>
  <si>
    <t>(82) 98765-9900</t>
  </si>
  <si>
    <t>Maceió</t>
  </si>
  <si>
    <t>AL</t>
  </si>
  <si>
    <t>Av. Fernandes Lima, 3200 – Farol</t>
  </si>
  <si>
    <t>Telefone</t>
  </si>
  <si>
    <t>Responsável</t>
  </si>
  <si>
    <t>Email</t>
  </si>
  <si>
    <t>333.444.555-66</t>
  </si>
  <si>
    <t>Carolina Barbosa</t>
  </si>
  <si>
    <t>(13) 90987-7788</t>
  </si>
  <si>
    <t>Santos</t>
  </si>
  <si>
    <t>Av. Ana Costa, 200 – Gonzaga</t>
  </si>
  <si>
    <t>444.555.666-77</t>
  </si>
  <si>
    <t>Eduardo Farias</t>
  </si>
  <si>
    <t>(81) 99876-8899</t>
  </si>
  <si>
    <t>Recife</t>
  </si>
  <si>
    <t>PE</t>
  </si>
  <si>
    <t>Rua da Aurora, 710 – Boa Vista</t>
  </si>
  <si>
    <t>777.888.999-00</t>
  </si>
  <si>
    <t>Débora Nascimento</t>
  </si>
  <si>
    <t>(96) 96543-1212</t>
  </si>
  <si>
    <t>Macapá</t>
  </si>
  <si>
    <t>AP</t>
  </si>
  <si>
    <t>Av. FAB, 560 – Central</t>
  </si>
  <si>
    <t>888.999.000-11</t>
  </si>
  <si>
    <t>Vinícius Pires</t>
  </si>
  <si>
    <t>(98) 95432-1313</t>
  </si>
  <si>
    <t>São Luís</t>
  </si>
  <si>
    <t>MA</t>
  </si>
  <si>
    <t>Rua Grande, 1010 – Centro</t>
  </si>
  <si>
    <t>000.111.222-33</t>
  </si>
  <si>
    <t>Felipe Carvalho</t>
  </si>
  <si>
    <t>(92) 93210-1515</t>
  </si>
  <si>
    <t>Manaus</t>
  </si>
  <si>
    <t>AM</t>
  </si>
  <si>
    <t>Av. Eduardo Ribeiro, 720 – Centro</t>
  </si>
  <si>
    <t>Cod . Prod</t>
  </si>
  <si>
    <t>Produto</t>
  </si>
  <si>
    <t>Tipo</t>
  </si>
  <si>
    <t>Estoque</t>
  </si>
  <si>
    <t>Total Ent</t>
  </si>
  <si>
    <t>Total Exit</t>
  </si>
  <si>
    <t>Ponto de pedido</t>
  </si>
  <si>
    <t>Estoque min</t>
  </si>
  <si>
    <t>Status</t>
  </si>
  <si>
    <t>Inserir</t>
  </si>
  <si>
    <t>Apagar</t>
  </si>
  <si>
    <t>Data</t>
  </si>
  <si>
    <t>ID</t>
  </si>
  <si>
    <t>Qtde</t>
  </si>
  <si>
    <t>NFS</t>
  </si>
  <si>
    <t>Alimento</t>
  </si>
  <si>
    <t>tipo</t>
  </si>
  <si>
    <t>qtde</t>
  </si>
  <si>
    <t>Cod clie</t>
  </si>
  <si>
    <t>cliente</t>
  </si>
  <si>
    <t>Nome da Empresa</t>
  </si>
  <si>
    <t>Fornecedor Responsável</t>
  </si>
  <si>
    <t>Macarrão</t>
  </si>
  <si>
    <t>limpar</t>
  </si>
  <si>
    <t>inserir</t>
  </si>
  <si>
    <t>Bebida</t>
  </si>
  <si>
    <t>Limpeza</t>
  </si>
  <si>
    <t>Higiene</t>
  </si>
  <si>
    <t>Bolacha</t>
  </si>
  <si>
    <t>Casa das Ofertas</t>
  </si>
  <si>
    <t>Atacadão Norte</t>
  </si>
  <si>
    <t>Creme dental</t>
  </si>
  <si>
    <t>Congelado</t>
  </si>
  <si>
    <t>Mercadinho Central</t>
  </si>
  <si>
    <t>Alimentos Brasil</t>
  </si>
  <si>
    <t>Detergente</t>
  </si>
  <si>
    <t>Fornec Ltda</t>
  </si>
  <si>
    <t>Coxinha</t>
  </si>
  <si>
    <t>Mercadão Popular</t>
  </si>
  <si>
    <t>Sul Distribuidora</t>
  </si>
  <si>
    <t>Mamão</t>
  </si>
  <si>
    <t>Temperos</t>
  </si>
  <si>
    <t>Bom Preço</t>
  </si>
  <si>
    <t>Açúcar</t>
  </si>
  <si>
    <t>Super Econômico</t>
  </si>
  <si>
    <t>Sorvete</t>
  </si>
  <si>
    <t>Pizza congelada</t>
  </si>
  <si>
    <t>Pastilha</t>
  </si>
  <si>
    <t>Linguiça</t>
  </si>
  <si>
    <t>Molho inglês</t>
  </si>
  <si>
    <t>Polpa de fruta</t>
  </si>
  <si>
    <t>Frango</t>
  </si>
  <si>
    <t>Distribuidora Silva</t>
  </si>
  <si>
    <t>Sabão em pó</t>
  </si>
  <si>
    <t>Sardinha</t>
  </si>
  <si>
    <t>Leite</t>
  </si>
  <si>
    <t>Pastel</t>
  </si>
  <si>
    <t>Mostarda</t>
  </si>
  <si>
    <t>Iogurte</t>
  </si>
  <si>
    <t>Grão de bico</t>
  </si>
  <si>
    <t>Uva</t>
  </si>
  <si>
    <t>Creme de leite</t>
  </si>
  <si>
    <t>Banana</t>
  </si>
  <si>
    <t>Maçã</t>
  </si>
  <si>
    <t>Queijo</t>
  </si>
  <si>
    <t>Farofa</t>
  </si>
  <si>
    <t>Suco</t>
  </si>
  <si>
    <t>Shoyu</t>
  </si>
  <si>
    <t>Presunto</t>
  </si>
  <si>
    <t>Cebola</t>
  </si>
  <si>
    <t>Papel higiênico</t>
  </si>
  <si>
    <t>Tomate</t>
  </si>
  <si>
    <t>Maionese</t>
  </si>
  <si>
    <t>Lentilha</t>
  </si>
  <si>
    <t>Pudim</t>
  </si>
  <si>
    <t>Salsicha</t>
  </si>
  <si>
    <t>Granola</t>
  </si>
  <si>
    <t>Batata frita congelada</t>
  </si>
  <si>
    <t>Amaciante</t>
  </si>
  <si>
    <t>Gelatina</t>
  </si>
  <si>
    <t>Laranja</t>
  </si>
  <si>
    <t>Molho de pimenta</t>
  </si>
  <si>
    <t>Alface</t>
  </si>
  <si>
    <t>Aveia</t>
  </si>
  <si>
    <t>Esfiha</t>
  </si>
  <si>
    <t>Álcool</t>
  </si>
  <si>
    <t>Escova de dentes</t>
  </si>
  <si>
    <t>Batata</t>
  </si>
  <si>
    <t>Pimenta</t>
  </si>
  <si>
    <t>Whisky</t>
  </si>
  <si>
    <t>Carne bovina</t>
  </si>
  <si>
    <t>Fósforo</t>
  </si>
  <si>
    <t>Desinfetante</t>
  </si>
  <si>
    <t>Esponja</t>
  </si>
  <si>
    <t>Chá</t>
  </si>
  <si>
    <t>Condicionador</t>
  </si>
  <si>
    <t>Sabonete</t>
  </si>
  <si>
    <t>Refrigerante</t>
  </si>
  <si>
    <t>Repolho</t>
  </si>
  <si>
    <t>Leite condensado</t>
  </si>
  <si>
    <t>Peixe</t>
  </si>
  <si>
    <t>Ervilha</t>
  </si>
  <si>
    <t>Biscoito</t>
  </si>
  <si>
    <t>Café</t>
  </si>
  <si>
    <t>Av. Brasil, 456</t>
  </si>
  <si>
    <t>Rua XV de Novembro, 202</t>
  </si>
  <si>
    <t>Travessa do Sol, 300</t>
  </si>
  <si>
    <t>Rua da Praia, 55</t>
  </si>
  <si>
    <t>Rua das Flores, 123</t>
  </si>
  <si>
    <t>Av. Paulista, 1001</t>
  </si>
  <si>
    <t>Rua Central, 789</t>
  </si>
  <si>
    <t>Rua C, 56</t>
  </si>
  <si>
    <t>Rua A, 12</t>
  </si>
  <si>
    <t>Rua B, 34</t>
  </si>
  <si>
    <t>(11) 92650-1103</t>
  </si>
  <si>
    <t>(11) 92428-6279</t>
  </si>
  <si>
    <t>(11) 91062-6671</t>
  </si>
  <si>
    <t>(11) 95144-9742</t>
  </si>
  <si>
    <t>(11) 97239-7535</t>
  </si>
  <si>
    <t>(11) 92596-6102</t>
  </si>
  <si>
    <t>(11) 93198-8691</t>
  </si>
  <si>
    <t>(11) 98556-3030</t>
  </si>
  <si>
    <t>(11) 97925-9039</t>
  </si>
  <si>
    <t>(11) 97803-5577</t>
  </si>
  <si>
    <t>(11) 92382-9737</t>
  </si>
  <si>
    <t>(11) 94227-5192</t>
  </si>
  <si>
    <t>(11) 97232-6474</t>
  </si>
  <si>
    <t>(11) 91960-9671</t>
  </si>
  <si>
    <t>(11) 91177-9337</t>
  </si>
  <si>
    <t>(11) 94522-3426</t>
  </si>
  <si>
    <t>(11) 92989-5409</t>
  </si>
  <si>
    <t>(11) 98321-4456</t>
  </si>
  <si>
    <t>(11) 91786-1173</t>
  </si>
  <si>
    <t>(11) 96816-6696</t>
  </si>
  <si>
    <t>(11) 99748-3595</t>
  </si>
  <si>
    <t>(11) 93503-8257</t>
  </si>
  <si>
    <t>(11) 98881-8940</t>
  </si>
  <si>
    <t>(11) 92583-2371</t>
  </si>
  <si>
    <t>(11) 96393-5427</t>
  </si>
  <si>
    <t>(11) 95232-6155</t>
  </si>
  <si>
    <t>(11) 95958-2862</t>
  </si>
  <si>
    <t>(11) 97269-3657</t>
  </si>
  <si>
    <t>(11) 96474-7292</t>
  </si>
  <si>
    <t>(11) 97952-3625</t>
  </si>
  <si>
    <t>(11) 97555-3809</t>
  </si>
  <si>
    <t>(11) 91567-9033</t>
  </si>
  <si>
    <t>(11) 92334-5962</t>
  </si>
  <si>
    <t>(11) 98469-2309</t>
  </si>
  <si>
    <t>(11) 95872-6038</t>
  </si>
  <si>
    <t>(11) 98396-3580</t>
  </si>
  <si>
    <t>(11) 97083-4226</t>
  </si>
  <si>
    <t>(11) 99387-3851</t>
  </si>
  <si>
    <t>(11) 94478-6683</t>
  </si>
  <si>
    <t>(11) 91221-9688</t>
  </si>
  <si>
    <t>(11) 94903-7382</t>
  </si>
  <si>
    <t>(11) 99221-7454</t>
  </si>
  <si>
    <t>(11) 99172-7771</t>
  </si>
  <si>
    <t>(11) 92836-2622</t>
  </si>
  <si>
    <t>(11) 97836-2798</t>
  </si>
  <si>
    <t>(11) 95930-5802</t>
  </si>
  <si>
    <t>(11) 93606-8489</t>
  </si>
  <si>
    <t>(11) 92489-3011</t>
  </si>
  <si>
    <t>(11) 97331-1078</t>
  </si>
  <si>
    <t>(11) 98734-9787</t>
  </si>
  <si>
    <t>(11) 94006-3584</t>
  </si>
  <si>
    <t>(11) 91400-4270</t>
  </si>
  <si>
    <t>(11) 96233-7960</t>
  </si>
  <si>
    <t>(11) 98492-1613</t>
  </si>
  <si>
    <t>(11) 91021-6887</t>
  </si>
  <si>
    <t>(11) 94116-3823</t>
  </si>
  <si>
    <t>(11) 96861-6627</t>
  </si>
  <si>
    <t>(11) 95258-9784</t>
  </si>
  <si>
    <t>(11) 97328-3012</t>
  </si>
  <si>
    <t>(11) 98341-3116</t>
  </si>
  <si>
    <t>(11) 93444-9352</t>
  </si>
  <si>
    <t>(11) 93109-7220</t>
  </si>
  <si>
    <t>(11) 94502-9569</t>
  </si>
  <si>
    <t>(11) 93376-5559</t>
  </si>
  <si>
    <t>(11) 92229-2725</t>
  </si>
  <si>
    <t>(11) 99555-2736</t>
  </si>
  <si>
    <t>(11) 93182-6836</t>
  </si>
  <si>
    <t>(11) 98379-4738</t>
  </si>
  <si>
    <t>(11) 91731-1573</t>
  </si>
  <si>
    <t>(11) 96637-5380</t>
  </si>
  <si>
    <t>(11) 92925-1430</t>
  </si>
  <si>
    <t>(11) 93329-5252</t>
  </si>
  <si>
    <t>(11) 94662-2657</t>
  </si>
  <si>
    <t>(11) 98204-9790</t>
  </si>
  <si>
    <t>(11) 96390-5808</t>
  </si>
  <si>
    <t>(11) 91192-6019</t>
  </si>
  <si>
    <t>(11) 95844-4176</t>
  </si>
  <si>
    <t>(11) 95630-3784</t>
  </si>
  <si>
    <t>(11) 99731-4576</t>
  </si>
  <si>
    <t>(11) 92638-1108</t>
  </si>
  <si>
    <t>(11) 99909-2857</t>
  </si>
  <si>
    <t>(11) 91564-4743</t>
  </si>
  <si>
    <t>(11) 91783-9712</t>
  </si>
  <si>
    <t>(11) 95662-6658</t>
  </si>
  <si>
    <t>(11) 96576-1368</t>
  </si>
  <si>
    <t>(11) 95181-5232</t>
  </si>
  <si>
    <t>(11) 93393-8197</t>
  </si>
  <si>
    <t>(11) 96637-3062</t>
  </si>
  <si>
    <t>(11) 98989-4182</t>
  </si>
  <si>
    <t>(11) 97110-2767</t>
  </si>
  <si>
    <t>(11) 98572-2162</t>
  </si>
  <si>
    <t>(11) 94824-1421</t>
  </si>
  <si>
    <t>(11) 92459-3688</t>
  </si>
  <si>
    <t>(11) 94676-7151</t>
  </si>
  <si>
    <t>(11) 99408-9656</t>
  </si>
  <si>
    <t>(11) 93919-5917</t>
  </si>
  <si>
    <t>(11) 99702-5490</t>
  </si>
  <si>
    <t>(11) 92470-6007</t>
  </si>
  <si>
    <t>(11) 91670-9903</t>
  </si>
  <si>
    <t>(11) 93162-9129</t>
  </si>
  <si>
    <t>contato1@empresa.com</t>
  </si>
  <si>
    <t>contato2@empresa.com</t>
  </si>
  <si>
    <t>contato3@empresa.com</t>
  </si>
  <si>
    <t>contato4@empresa.com</t>
  </si>
  <si>
    <t>contato5@empresa.com</t>
  </si>
  <si>
    <t>contato6@empresa.com</t>
  </si>
  <si>
    <t>contato7@empresa.com</t>
  </si>
  <si>
    <t>contato8@empresa.com</t>
  </si>
  <si>
    <t>contato9@empresa.com</t>
  </si>
  <si>
    <t>contato10@empresa.com</t>
  </si>
  <si>
    <t>contato11@empresa.com</t>
  </si>
  <si>
    <t>contato12@empresa.com</t>
  </si>
  <si>
    <t>contato13@empresa.com</t>
  </si>
  <si>
    <t>contato14@empresa.com</t>
  </si>
  <si>
    <t>contato15@empresa.com</t>
  </si>
  <si>
    <t>contato16@empresa.com</t>
  </si>
  <si>
    <t>contato17@empresa.com</t>
  </si>
  <si>
    <t>contato18@empresa.com</t>
  </si>
  <si>
    <t>contato19@empresa.com</t>
  </si>
  <si>
    <t>contato20@empresa.com</t>
  </si>
  <si>
    <t>contato21@empresa.com</t>
  </si>
  <si>
    <t>contato22@empresa.com</t>
  </si>
  <si>
    <t>contato23@empresa.com</t>
  </si>
  <si>
    <t>contato24@empresa.com</t>
  </si>
  <si>
    <t>contato25@empresa.com</t>
  </si>
  <si>
    <t>contato26@empresa.com</t>
  </si>
  <si>
    <t>contato27@empresa.com</t>
  </si>
  <si>
    <t>contato28@empresa.com</t>
  </si>
  <si>
    <t>contato29@empresa.com</t>
  </si>
  <si>
    <t>contato30@empresa.com</t>
  </si>
  <si>
    <t>contato31@empresa.com</t>
  </si>
  <si>
    <t>contato32@empresa.com</t>
  </si>
  <si>
    <t>contato33@empresa.com</t>
  </si>
  <si>
    <t>contato34@empresa.com</t>
  </si>
  <si>
    <t>contato35@empresa.com</t>
  </si>
  <si>
    <t>contato36@empresa.com</t>
  </si>
  <si>
    <t>contato37@empresa.com</t>
  </si>
  <si>
    <t>contato38@empresa.com</t>
  </si>
  <si>
    <t>contato39@empresa.com</t>
  </si>
  <si>
    <t>contato40@empresa.com</t>
  </si>
  <si>
    <t>contato41@empresa.com</t>
  </si>
  <si>
    <t>contato42@empresa.com</t>
  </si>
  <si>
    <t>contato43@empresa.com</t>
  </si>
  <si>
    <t>contato44@empresa.com</t>
  </si>
  <si>
    <t>contato45@empresa.com</t>
  </si>
  <si>
    <t>contato46@empresa.com</t>
  </si>
  <si>
    <t>contato47@empresa.com</t>
  </si>
  <si>
    <t>contato48@empresa.com</t>
  </si>
  <si>
    <t>contato49@empresa.com</t>
  </si>
  <si>
    <t>contato50@empresa.com</t>
  </si>
  <si>
    <t>contato51@empresa.com</t>
  </si>
  <si>
    <t>contato52@empresa.com</t>
  </si>
  <si>
    <t>contato53@empresa.com</t>
  </si>
  <si>
    <t>contato54@empresa.com</t>
  </si>
  <si>
    <t>contato55@empresa.com</t>
  </si>
  <si>
    <t>contato56@empresa.com</t>
  </si>
  <si>
    <t>contato57@empresa.com</t>
  </si>
  <si>
    <t>contato58@empresa.com</t>
  </si>
  <si>
    <t>contato59@empresa.com</t>
  </si>
  <si>
    <t>contato60@empresa.com</t>
  </si>
  <si>
    <t>contato61@empresa.com</t>
  </si>
  <si>
    <t>contato62@empresa.com</t>
  </si>
  <si>
    <t>contato63@empresa.com</t>
  </si>
  <si>
    <t>contato64@empresa.com</t>
  </si>
  <si>
    <t>contato65@empresa.com</t>
  </si>
  <si>
    <t>contato66@empresa.com</t>
  </si>
  <si>
    <t>contato67@empresa.com</t>
  </si>
  <si>
    <t>contato68@empresa.com</t>
  </si>
  <si>
    <t>contato69@empresa.com</t>
  </si>
  <si>
    <t>contato70@empresa.com</t>
  </si>
  <si>
    <t>contato71@empresa.com</t>
  </si>
  <si>
    <t>contato72@empresa.com</t>
  </si>
  <si>
    <t>contato73@empresa.com</t>
  </si>
  <si>
    <t>contato74@empresa.com</t>
  </si>
  <si>
    <t>contato75@empresa.com</t>
  </si>
  <si>
    <t>contato76@empresa.com</t>
  </si>
  <si>
    <t>contato77@empresa.com</t>
  </si>
  <si>
    <t>contato78@empresa.com</t>
  </si>
  <si>
    <t>contato79@empresa.com</t>
  </si>
  <si>
    <t>contato80@empresa.com</t>
  </si>
  <si>
    <t>contato81@empresa.com</t>
  </si>
  <si>
    <t>contato82@empresa.com</t>
  </si>
  <si>
    <t>contato83@empresa.com</t>
  </si>
  <si>
    <t>contato84@empresa.com</t>
  </si>
  <si>
    <t>contato85@empresa.com</t>
  </si>
  <si>
    <t>contato86@empresa.com</t>
  </si>
  <si>
    <t>contato87@empresa.com</t>
  </si>
  <si>
    <t>contato88@empresa.com</t>
  </si>
  <si>
    <t>contato89@empresa.com</t>
  </si>
  <si>
    <t>contato90@empresa.com</t>
  </si>
  <si>
    <t>contato91@empresa.com</t>
  </si>
  <si>
    <t>contato92@empresa.com</t>
  </si>
  <si>
    <t>contato93@empresa.com</t>
  </si>
  <si>
    <t>contato94@empresa.com</t>
  </si>
  <si>
    <t>contato95@empresa.com</t>
  </si>
  <si>
    <t>contato96@empresa.com</t>
  </si>
  <si>
    <t>contato97@empresa.com</t>
  </si>
  <si>
    <t>contato98@empresa.com</t>
  </si>
  <si>
    <t>contato99@empresa.com</t>
  </si>
  <si>
    <t>contato100@empresa.com</t>
  </si>
  <si>
    <t>823.491.507-04</t>
  </si>
  <si>
    <t>Ana Laura Pires</t>
  </si>
  <si>
    <t>+55 (021) 3508-8439</t>
  </si>
  <si>
    <t>Melo</t>
  </si>
  <si>
    <t>AC</t>
  </si>
  <si>
    <t>Praia Nicolas Pinto, 203, São Pedro, 15929-827 da Mota do Galho / RN</t>
  </si>
  <si>
    <t>251.309.674-61</t>
  </si>
  <si>
    <t>Pedro Lucas Monteiro</t>
  </si>
  <si>
    <t>71 5676 0179</t>
  </si>
  <si>
    <t>da Rocha</t>
  </si>
  <si>
    <t>PB</t>
  </si>
  <si>
    <t>Via Bruno Caldeira, 531, Casa Branca, 87230-935 Nogueira de Ferreira / SC</t>
  </si>
  <si>
    <t>572.103.846-26</t>
  </si>
  <si>
    <t>Murilo Moreira</t>
  </si>
  <si>
    <t>+55 (031) 3995 1292</t>
  </si>
  <si>
    <t>Rocha</t>
  </si>
  <si>
    <t>SC</t>
  </si>
  <si>
    <t>Colônia Oliveira, 11, Beira Linha, 02390-532 Moreira de Costa / RO</t>
  </si>
  <si>
    <t>791.506.823-77</t>
  </si>
  <si>
    <t>Julia Rodrigues</t>
  </si>
  <si>
    <t>0800-904-4478</t>
  </si>
  <si>
    <t>Cunha</t>
  </si>
  <si>
    <t>RS</t>
  </si>
  <si>
    <t>Colônia de Pereira, Vila Inestan, 62847625 Teixeira / PB</t>
  </si>
  <si>
    <t>685.079.431-01</t>
  </si>
  <si>
    <t>Dr. Nicolas Ribeiro</t>
  </si>
  <si>
    <t>11 6209-7575</t>
  </si>
  <si>
    <t>Lopes das Pedras</t>
  </si>
  <si>
    <t>GO</t>
  </si>
  <si>
    <t>Travessa Eloah Cardoso, São Salvador, 48757-942 Rocha / PI</t>
  </si>
  <si>
    <t>783.160.452-90</t>
  </si>
  <si>
    <t>Diego Pinto</t>
  </si>
  <si>
    <t>(071) 7525-8241</t>
  </si>
  <si>
    <t>Barbosa</t>
  </si>
  <si>
    <t>Quadra de Moura, 8, Monte São José, 07171947 Pereira / PA</t>
  </si>
  <si>
    <t>370.541.629-43</t>
  </si>
  <si>
    <t>Heloísa da Cruz</t>
  </si>
  <si>
    <t>(084) 9093-5137</t>
  </si>
  <si>
    <t>Cardoso das Pedras</t>
  </si>
  <si>
    <t>Sítio de da Costa, Senhor Dos Passos, 81771-115 Rodrigues das Flores / PA</t>
  </si>
  <si>
    <t>678.914.302-50</t>
  </si>
  <si>
    <t>Ana Lívia Pereira</t>
  </si>
  <si>
    <t>84 9815 6319</t>
  </si>
  <si>
    <t>Peixoto Verde</t>
  </si>
  <si>
    <t>Pátio Ana Carolina Ribeiro, 993, Nossa Senhora Da Aparecida, 14097621 Rezende de Barbosa / RS</t>
  </si>
  <si>
    <t>980.612.537-12</t>
  </si>
  <si>
    <t>Eduarda Melo</t>
  </si>
  <si>
    <t>0800-631-0410</t>
  </si>
  <si>
    <t>Martins do Sul</t>
  </si>
  <si>
    <t>Praça de das Neves, 71, Vila Havaí, 64474778 das Neves / PI</t>
  </si>
  <si>
    <t>894.152.630-24</t>
  </si>
  <si>
    <t>Dr. André Duarte</t>
  </si>
  <si>
    <t>+55 (071) 1563-8049</t>
  </si>
  <si>
    <t>da Costa de Minas</t>
  </si>
  <si>
    <t>Recanto Almeida, Vila Nova Cachoeirinha 2ª Seção, 22503-392 da Luz / MA</t>
  </si>
  <si>
    <t>361.784.025-62</t>
  </si>
  <si>
    <t>Luigi das Neves</t>
  </si>
  <si>
    <t>+55 (041) 9500-7249</t>
  </si>
  <si>
    <t>Costa de Araújo</t>
  </si>
  <si>
    <t>RN</t>
  </si>
  <si>
    <t>Largo Murilo da Costa, 87, Vila Jardim Leblon, 21782-568 Duarte / GO</t>
  </si>
  <si>
    <t>263.580.974-74</t>
  </si>
  <si>
    <t>Arthur Cavalcanti</t>
  </si>
  <si>
    <t>71 2693 8539</t>
  </si>
  <si>
    <t>Caldeira Paulista</t>
  </si>
  <si>
    <t>Recanto Martins, Nossa Senhora De Fátima, 42661-066 Pires do Oeste / AC</t>
  </si>
  <si>
    <t>375.218.964-91</t>
  </si>
  <si>
    <t>Bárbara Freitas</t>
  </si>
  <si>
    <t>61 2438-2906</t>
  </si>
  <si>
    <t>da Luz</t>
  </si>
  <si>
    <t>Vereda Costa, 9, Pindura Saia, 02953-414 Lima / RN</t>
  </si>
  <si>
    <t>245.308.716-90</t>
  </si>
  <si>
    <t>Arthur Melo</t>
  </si>
  <si>
    <t>0900 805 7909</t>
  </si>
  <si>
    <t>da Costa da Prata</t>
  </si>
  <si>
    <t>Fazenda Danilo Pinto, 8, Itatiaia, 76189-451 Peixoto do Campo / MT</t>
  </si>
  <si>
    <t>230.419.567-99</t>
  </si>
  <si>
    <t>Isis Sales</t>
  </si>
  <si>
    <t>+55 11 5961 9327</t>
  </si>
  <si>
    <t>Monteiro de Martins</t>
  </si>
  <si>
    <t>Avenida Esther Moreira, 9, Granja De Freitas, 15302-428 da Mota da Praia / PB</t>
  </si>
  <si>
    <t>085.319.467-00</t>
  </si>
  <si>
    <t>Lavínia Araújo</t>
  </si>
  <si>
    <t>+55 84 0594-6934</t>
  </si>
  <si>
    <t>Mendes</t>
  </si>
  <si>
    <t>Lago Enzo Cardoso, 55, Paquetá, 77210-317 Campos de Minas / MA</t>
  </si>
  <si>
    <t>958.610.274-20</t>
  </si>
  <si>
    <t>Srta. Raquel Castro</t>
  </si>
  <si>
    <t>+55 (071) 5856-0104</t>
  </si>
  <si>
    <t>Fogaça</t>
  </si>
  <si>
    <t>Vereda Moreira, São Francisco, 74621-433 Dias / AM</t>
  </si>
  <si>
    <t>451.763.982-73</t>
  </si>
  <si>
    <t>Danilo Moraes</t>
  </si>
  <si>
    <t>+55 (084) 4311-5904</t>
  </si>
  <si>
    <t>Alves</t>
  </si>
  <si>
    <t>Ladeira de Nascimento, 61, Conjunto Floramar, 40484589 das Neves / AM</t>
  </si>
  <si>
    <t>875.612.903-30</t>
  </si>
  <si>
    <t>Isadora Rezende</t>
  </si>
  <si>
    <t>(051) 4708-7919</t>
  </si>
  <si>
    <t>Lago de Araújo, 80, Minaslandia, 23339-455 da Mata / PB</t>
  </si>
  <si>
    <t>837.216.509-21</t>
  </si>
  <si>
    <t>Gabriela Fogaça</t>
  </si>
  <si>
    <t>+55 (041) 1820-7838</t>
  </si>
  <si>
    <t>Viela de Ramos, 1, Penha, 70479-505 Novaes do Galho / PI</t>
  </si>
  <si>
    <t>984.037.625-00</t>
  </si>
  <si>
    <t>Melissa Ferreira</t>
  </si>
  <si>
    <t>51 4788 8140</t>
  </si>
  <si>
    <t>Nascimento de Goiás</t>
  </si>
  <si>
    <t>Pátio Souza, 39, Boa União 1ª Seção, 73886-160 Silveira / RN</t>
  </si>
  <si>
    <t>346.507.918-39</t>
  </si>
  <si>
    <t>Vitor Gabriel Alves</t>
  </si>
  <si>
    <t>(071) 7991-1686</t>
  </si>
  <si>
    <t>Carvalho</t>
  </si>
  <si>
    <t>Área Lima, 27, Colégio Batista, 90499504 Cardoso do Galho / CE</t>
  </si>
  <si>
    <t>173.246.890-78</t>
  </si>
  <si>
    <t>Alexandre Alves</t>
  </si>
  <si>
    <t>+55 (011) 0440-7979</t>
  </si>
  <si>
    <t>Gomes</t>
  </si>
  <si>
    <t>SE</t>
  </si>
  <si>
    <t>Estrada Gustavo Henrique Ribeiro, 899, Jardim Leblon, 69561077 Nunes / RN</t>
  </si>
  <si>
    <t>103.462.879-87</t>
  </si>
  <si>
    <t>João Guilherme Farias</t>
  </si>
  <si>
    <t>(041) 3842 3212</t>
  </si>
  <si>
    <t>da Mota</t>
  </si>
  <si>
    <t>RO</t>
  </si>
  <si>
    <t>Quadra João Felipe Pinto, 10, Sport Club, 45440-236 Azevedo / MA</t>
  </si>
  <si>
    <t>015.986.734-75</t>
  </si>
  <si>
    <t>Sabrina Nunes</t>
  </si>
  <si>
    <t>0800 168 3088</t>
  </si>
  <si>
    <t>Cardoso de Campos</t>
  </si>
  <si>
    <t>Ladeira Moura, 32, Conjunto Califórnia Ii, 18172998 Jesus da Praia / RJ</t>
  </si>
  <si>
    <t>269.847.310-03</t>
  </si>
  <si>
    <t>Sra. Raquel Porto</t>
  </si>
  <si>
    <t>84 5783-7931</t>
  </si>
  <si>
    <t>Peixoto da Serra</t>
  </si>
  <si>
    <t>Trecho Peixoto, Vila Batik, 47332-994 Alves de Goiás / PA</t>
  </si>
  <si>
    <t>813.524.607-26</t>
  </si>
  <si>
    <t>Maria Luiza Caldeira</t>
  </si>
  <si>
    <t>+55 (011) 1825 5274</t>
  </si>
  <si>
    <t>Cardoso do Campo</t>
  </si>
  <si>
    <t>Favela de Araújo, Ventosa, 73854519 Araújo da Prata / RJ</t>
  </si>
  <si>
    <t>475.913.260-07</t>
  </si>
  <si>
    <t>Danilo Ribeiro</t>
  </si>
  <si>
    <t>(011) 3137-6494</t>
  </si>
  <si>
    <t>Nascimento do Amparo</t>
  </si>
  <si>
    <t>TO</t>
  </si>
  <si>
    <t>Quadra Raul Pereira, Concórdia, 97249743 Moraes / AP</t>
  </si>
  <si>
    <t>483.726.590-10</t>
  </si>
  <si>
    <t>Fernando da Rosa</t>
  </si>
  <si>
    <t>+55 84 6634 6002</t>
  </si>
  <si>
    <t>Nogueira</t>
  </si>
  <si>
    <t>Ladeira Novaes, 71, Nossa Senhora De Fátima, 02918172 Gomes de da Rosa / PE</t>
  </si>
  <si>
    <t>641.879.203-31</t>
  </si>
  <si>
    <t>Renan Ramos</t>
  </si>
  <si>
    <t>+55 (051) 3664 1409</t>
  </si>
  <si>
    <t>Sales do Oeste</t>
  </si>
  <si>
    <t>Fazenda Ribeiro, 284, Ribeiro De Abreu, 93428-224 Cavalcanti / RS</t>
  </si>
  <si>
    <t>275.031.648-08</t>
  </si>
  <si>
    <t>Juliana Ramos</t>
  </si>
  <si>
    <t>(081) 0119-1960</t>
  </si>
  <si>
    <t>Novaes de Goiás</t>
  </si>
  <si>
    <t>Alameda Ramos, 27, Vila Jardim Montanhes, 00425-276 da Mota / ES</t>
  </si>
  <si>
    <t>418.973.265-64</t>
  </si>
  <si>
    <t>Ana Júlia Pires</t>
  </si>
  <si>
    <t>+55 (011) 7538 0004</t>
  </si>
  <si>
    <t>Porto</t>
  </si>
  <si>
    <t>Vereda Silveira, Vila Bandeirantes, 39580-573 Barros Paulista / AC</t>
  </si>
  <si>
    <t>304.562.781-17</t>
  </si>
  <si>
    <t>Dr. Lucas da Costa</t>
  </si>
  <si>
    <t>+55 (031) 7645 7295</t>
  </si>
  <si>
    <t>da Cunha de Costa</t>
  </si>
  <si>
    <t>Estação de Araújo, 20, Biquinhas, 84208956 Campos / MA</t>
  </si>
  <si>
    <t>197.843.205-41</t>
  </si>
  <si>
    <t>Alexia Teixeira</t>
  </si>
  <si>
    <t>(041) 1846-9006</t>
  </si>
  <si>
    <t>da Mata do Oeste</t>
  </si>
  <si>
    <t>Avenida Theo Castro, Santa Sofia, 84196-401 Farias da Serra / DF</t>
  </si>
  <si>
    <t>452.913.678-73</t>
  </si>
  <si>
    <t>Lavínia Azevedo</t>
  </si>
  <si>
    <t>+55 (041) 8696 8282</t>
  </si>
  <si>
    <t>Feira Carlos Eduardo Dias, Novo Ouro Preto, 02265-551 da Paz / PB</t>
  </si>
  <si>
    <t>056.124.398-06</t>
  </si>
  <si>
    <t>João Miguel Cunha</t>
  </si>
  <si>
    <t>0900 708 4557</t>
  </si>
  <si>
    <t>Costela</t>
  </si>
  <si>
    <t>Favela de da Rosa, 50, Tirol, 30180389 Nascimento / AP</t>
  </si>
  <si>
    <t>086.259.734-00</t>
  </si>
  <si>
    <t>Isabelly Cardoso</t>
  </si>
  <si>
    <t>+55 (051) 7055 2523</t>
  </si>
  <si>
    <t>da Paz</t>
  </si>
  <si>
    <t>Área Dias, 61, Granja Werneck, 69236683 Pinto / GO</t>
  </si>
  <si>
    <t>296.018.354-15</t>
  </si>
  <si>
    <t>Nathan da Mata</t>
  </si>
  <si>
    <t>+55 (051) 2041 6437</t>
  </si>
  <si>
    <t>Freitas</t>
  </si>
  <si>
    <t>Núcleo da Luz, Vila São Francisco, 58958-086 Lima dos Dourados / AM</t>
  </si>
  <si>
    <t>539.672.081-68</t>
  </si>
  <si>
    <t>Rebeca Campos</t>
  </si>
  <si>
    <t>+55 (021) 1263 7024</t>
  </si>
  <si>
    <t>Azevedo</t>
  </si>
  <si>
    <t>Viela de Caldeira, Cabana Do Pai Tomás, 27366991 Martins / AP</t>
  </si>
  <si>
    <t>420.157.368-08</t>
  </si>
  <si>
    <t>Luana Cardoso</t>
  </si>
  <si>
    <t>(041) 1464 6867</t>
  </si>
  <si>
    <t>das Neves</t>
  </si>
  <si>
    <t>Vila Farias, 21, Maria Goretti, 38695777 Correia / BA</t>
  </si>
  <si>
    <t>205.498.763-83</t>
  </si>
  <si>
    <t>Ana Clara Rezende</t>
  </si>
  <si>
    <t>84 1357 6156</t>
  </si>
  <si>
    <t>Gonçalves</t>
  </si>
  <si>
    <t>Viela Júlia Costela, 1, Barão Homem De Melo 3ª Seção, 38399-667 Porto das Pedras / SE</t>
  </si>
  <si>
    <t>058.271.936-40</t>
  </si>
  <si>
    <t>João Miguel Pereira</t>
  </si>
  <si>
    <t>(031) 1342 2739</t>
  </si>
  <si>
    <t>Alves da Serra</t>
  </si>
  <si>
    <t>Residencial de da Mata, 78, Ernesto Nascimento, 38433582 Oliveira Verde / PA</t>
  </si>
  <si>
    <t>081.362.794-03</t>
  </si>
  <si>
    <t>Pietro da Rosa</t>
  </si>
  <si>
    <t>+55 (071) 7643 1786</t>
  </si>
  <si>
    <t>Rodrigues</t>
  </si>
  <si>
    <t>Trevo Helena da Conceição, Indaiá, 74217-311 Gonçalves / MA</t>
  </si>
  <si>
    <t>925.614.730-07</t>
  </si>
  <si>
    <t>Ana Beatriz da Cruz</t>
  </si>
  <si>
    <t>(051) 3727-0453</t>
  </si>
  <si>
    <t>Farias</t>
  </si>
  <si>
    <t>Setor Cardoso, 2, Etelvina Carneiro, 25040856 Cardoso / PI</t>
  </si>
  <si>
    <t>726.491.058-01</t>
  </si>
  <si>
    <t>Felipe Santos</t>
  </si>
  <si>
    <t>(084) 8240 2332</t>
  </si>
  <si>
    <t>PA</t>
  </si>
  <si>
    <t>Colônia Rezende, 84, Vila Ouro Minas, 42617-770 Monteiro / MS</t>
  </si>
  <si>
    <t>658.302.971-59</t>
  </si>
  <si>
    <t>Maria Luiza Nunes</t>
  </si>
  <si>
    <t>71 2298-9182</t>
  </si>
  <si>
    <t>Residencial Lopes, 9, Santa Rita, 25617956 Ramos / AC</t>
  </si>
  <si>
    <t>653.941.820-51</t>
  </si>
  <si>
    <t>Yago Moreira</t>
  </si>
  <si>
    <t>+55 (031) 5803-7936</t>
  </si>
  <si>
    <t>Freitas de Goiás</t>
  </si>
  <si>
    <t>Ladeira Rebeca Ramos, 1, Jardim Vitoria, 37442-276 Vieira Grande / SE</t>
  </si>
  <si>
    <t>270.345.168-71</t>
  </si>
  <si>
    <t>Eduardo Gomes</t>
  </si>
  <si>
    <t>+55 (071) 8821 8205</t>
  </si>
  <si>
    <t>Distrito de Farias, 2, São Benedito, 56253082 Lopes de Barbosa / AM</t>
  </si>
  <si>
    <t>863.074.195-39</t>
  </si>
  <si>
    <t>Bruno Castro</t>
  </si>
  <si>
    <t>+55 (041) 9028 8392</t>
  </si>
  <si>
    <t>Sítio Gomes, Alto Vera Cruz, 54864560 Martins / PI</t>
  </si>
  <si>
    <t>594.371.286-00</t>
  </si>
  <si>
    <t>Raquel Cavalcanti</t>
  </si>
  <si>
    <t>(031) 3808 7214</t>
  </si>
  <si>
    <t>Gomes de Martins</t>
  </si>
  <si>
    <t>Setor Mendes, 22, Mantiqueira, 35143-294 Ramos / SC</t>
  </si>
  <si>
    <t>Refrigerante Cola – 2L (Coca-Cola)</t>
  </si>
  <si>
    <t>Macarrão Espaguete – 500g (Renata)</t>
  </si>
  <si>
    <t>Manteiga Extra com Sal – 200g (Aviação)</t>
  </si>
  <si>
    <t>Frango Inteiro Congelado – 1,5kg (Seara)</t>
  </si>
  <si>
    <t>Feijão Carioca – 1kg (Kicaldo)</t>
  </si>
  <si>
    <t>Papel Higiênico – 12 rolos (Neve)</t>
  </si>
  <si>
    <t>Leite Integral – 1L (Itambé)</t>
  </si>
  <si>
    <t>Pão de Forma Integral – 500g (Pullman)</t>
  </si>
  <si>
    <t>Água Mineral sem Gás – 1,5L (Minalba)</t>
  </si>
  <si>
    <t>Achocolatado em Pó – 400g (Nescau)</t>
  </si>
  <si>
    <t>Café Torrado e Moído – 500g (Pilão)</t>
  </si>
  <si>
    <t>Arroz Tipo 1 – 5kg (Camil)</t>
  </si>
  <si>
    <t>Açúcar Cristal – 5kg (União)</t>
  </si>
  <si>
    <t>Biscoito Recheado Chocolate – 140g (Nestlé)</t>
  </si>
  <si>
    <t>Suco de Laranja Integral – 1L (Del Valle)</t>
  </si>
  <si>
    <t>Sabão em Pó – 2kg (Omo)</t>
  </si>
  <si>
    <t>Queijo Mussarela Fatiado – 200g (Tirolez)</t>
  </si>
  <si>
    <t>Carne Bovina – Alcatra – 1kg (Friboi)</t>
  </si>
  <si>
    <t>Óleo de Soja – 900ml (Soya)</t>
  </si>
  <si>
    <t>Presunto Cozido Fatiado – 200g (Sadia)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</si>
</sst>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5" borderId="0" xfId="0" applyFont="1" applyFill="1"/>
    <xf numFmtId="0" fontId="0" fillId="6" borderId="1" xfId="0" applyFill="1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/>
    <xf numFmtId="0" fontId="0" fillId="6" borderId="1" xfId="0" applyFill="1" applyBorder="1" applyAlignment="1"/>
    <xf numFmtId="14" fontId="1" fillId="5" borderId="0" xfId="0" applyNumberFormat="1" applyFont="1" applyFill="1"/>
    <xf numFmtId="14" fontId="0" fillId="0" borderId="0" xfId="0" applyNumberFormat="1"/>
    <xf numFmtId="0" fontId="0" fillId="6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3" borderId="1" xfId="0" applyNumberFormat="1" applyFill="1" applyBorder="1" applyAlignment="1">
      <alignment wrapText="1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12851</xdr:colOff>
      <xdr:row>0</xdr:row>
      <xdr:rowOff>0</xdr:rowOff>
    </xdr:from>
    <xdr:to>
      <xdr:col>7</xdr:col>
      <xdr:colOff>523444</xdr:colOff>
      <xdr:row>8</xdr:row>
      <xdr:rowOff>262201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9EE378-D93E-4CC2-915D-CD12B71D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2896" y="0"/>
          <a:ext cx="3328481" cy="1880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0A1D85D2-03E2-4953-B363-CF224F4D34A3}"/>
            </a:ext>
          </a:extLst>
        </xdr:cNvPr>
        <xdr:cNvSpPr/>
      </xdr:nvSpPr>
      <xdr:spPr>
        <a:xfrm>
          <a:off x="4225538" y="229219"/>
          <a:ext cx="1125731" cy="1595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E13110ED-DFB7-4F81-929D-044145D47708}"/>
            </a:ext>
          </a:extLst>
        </xdr:cNvPr>
        <xdr:cNvSpPr/>
      </xdr:nvSpPr>
      <xdr:spPr>
        <a:xfrm>
          <a:off x="4215316" y="592253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661A8C22-B88F-4024-B3F8-D821A91AE19E}"/>
            </a:ext>
          </a:extLst>
        </xdr:cNvPr>
        <xdr:cNvSpPr/>
      </xdr:nvSpPr>
      <xdr:spPr>
        <a:xfrm>
          <a:off x="4213650" y="989044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14405</xdr:colOff>
      <xdr:row>0</xdr:row>
      <xdr:rowOff>0</xdr:rowOff>
    </xdr:from>
    <xdr:to>
      <xdr:col>6</xdr:col>
      <xdr:colOff>1527149</xdr:colOff>
      <xdr:row>9</xdr:row>
      <xdr:rowOff>164460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DE66DD-0A58-457C-8BCE-218940C3D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7409" y="0"/>
          <a:ext cx="2896952" cy="1891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6852</xdr:colOff>
      <xdr:row>3</xdr:row>
      <xdr:rowOff>13706</xdr:rowOff>
    </xdr:from>
    <xdr:to>
      <xdr:col>4</xdr:col>
      <xdr:colOff>20557</xdr:colOff>
      <xdr:row>4</xdr:row>
      <xdr:rowOff>13706</xdr:rowOff>
    </xdr:to>
    <xdr:sp macro="[0]!apagar_prod" textlink="">
      <xdr:nvSpPr>
        <xdr:cNvPr id="8" name="Retângulo 7">
          <a:extLst>
            <a:ext uri="{FF2B5EF4-FFF2-40B4-BE49-F238E27FC236}">
              <a16:creationId xmlns:a16="http://schemas.microsoft.com/office/drawing/2014/main" id="{5DBE0F34-DFB3-5FEF-5DBF-E08E08A08324}"/>
            </a:ext>
          </a:extLst>
        </xdr:cNvPr>
        <xdr:cNvSpPr/>
      </xdr:nvSpPr>
      <xdr:spPr>
        <a:xfrm>
          <a:off x="3563309" y="589318"/>
          <a:ext cx="1349946" cy="191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1161365</xdr:colOff>
      <xdr:row>1</xdr:row>
      <xdr:rowOff>10141</xdr:rowOff>
    </xdr:from>
    <xdr:to>
      <xdr:col>4</xdr:col>
      <xdr:colOff>10142</xdr:colOff>
      <xdr:row>2</xdr:row>
      <xdr:rowOff>10141</xdr:rowOff>
    </xdr:to>
    <xdr:sp macro="[0]!Inserir_prod" textlink="">
      <xdr:nvSpPr>
        <xdr:cNvPr id="10" name="Retângulo 9">
          <a:extLst>
            <a:ext uri="{FF2B5EF4-FFF2-40B4-BE49-F238E27FC236}">
              <a16:creationId xmlns:a16="http://schemas.microsoft.com/office/drawing/2014/main" id="{BAE5C630-C4DF-FBE0-8F88-ABB3555E7439}"/>
            </a:ext>
          </a:extLst>
        </xdr:cNvPr>
        <xdr:cNvSpPr/>
      </xdr:nvSpPr>
      <xdr:spPr>
        <a:xfrm>
          <a:off x="3552894" y="202012"/>
          <a:ext cx="1349946" cy="19187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601579</xdr:colOff>
      <xdr:row>1</xdr:row>
      <xdr:rowOff>181727</xdr:rowOff>
    </xdr:from>
    <xdr:to>
      <xdr:col>5</xdr:col>
      <xdr:colOff>18800</xdr:colOff>
      <xdr:row>2</xdr:row>
      <xdr:rowOff>169194</xdr:rowOff>
    </xdr:to>
    <xdr:sp macro="[0]!Inserir_saida" textlink="">
      <xdr:nvSpPr>
        <xdr:cNvPr id="2" name="Retângulo 1">
          <a:extLst>
            <a:ext uri="{FF2B5EF4-FFF2-40B4-BE49-F238E27FC236}">
              <a16:creationId xmlns:a16="http://schemas.microsoft.com/office/drawing/2014/main" id="{A5022E19-9766-53E4-02F9-B3E1AC9FADC3}"/>
            </a:ext>
          </a:extLst>
        </xdr:cNvPr>
        <xdr:cNvSpPr/>
      </xdr:nvSpPr>
      <xdr:spPr>
        <a:xfrm>
          <a:off x="3283618" y="369720"/>
          <a:ext cx="632912" cy="175461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584784</xdr:colOff>
      <xdr:row>4</xdr:row>
      <xdr:rowOff>2005</xdr:rowOff>
    </xdr:from>
    <xdr:to>
      <xdr:col>5</xdr:col>
      <xdr:colOff>2005</xdr:colOff>
      <xdr:row>4</xdr:row>
      <xdr:rowOff>177466</xdr:rowOff>
    </xdr:to>
    <xdr:sp macro="[0]!Excluir_Saida" textlink="">
      <xdr:nvSpPr>
        <xdr:cNvPr id="3" name="Retângulo 2">
          <a:extLst>
            <a:ext uri="{FF2B5EF4-FFF2-40B4-BE49-F238E27FC236}">
              <a16:creationId xmlns:a16="http://schemas.microsoft.com/office/drawing/2014/main" id="{2280805D-E909-1700-2B3E-50C144087138}"/>
            </a:ext>
          </a:extLst>
        </xdr:cNvPr>
        <xdr:cNvSpPr/>
      </xdr:nvSpPr>
      <xdr:spPr>
        <a:xfrm>
          <a:off x="3266823" y="753979"/>
          <a:ext cx="632912" cy="17546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25066</xdr:colOff>
      <xdr:row>6</xdr:row>
      <xdr:rowOff>6266</xdr:rowOff>
    </xdr:from>
    <xdr:to>
      <xdr:col>5</xdr:col>
      <xdr:colOff>6267</xdr:colOff>
      <xdr:row>7</xdr:row>
      <xdr:rowOff>12533</xdr:rowOff>
    </xdr:to>
    <xdr:sp macro="[0]!Limpar_saida" textlink="">
      <xdr:nvSpPr>
        <xdr:cNvPr id="5" name="Retângulo 4">
          <a:extLst>
            <a:ext uri="{FF2B5EF4-FFF2-40B4-BE49-F238E27FC236}">
              <a16:creationId xmlns:a16="http://schemas.microsoft.com/office/drawing/2014/main" id="{E275E5A2-4E62-FDF9-4352-0978B705C5C5}"/>
            </a:ext>
          </a:extLst>
        </xdr:cNvPr>
        <xdr:cNvSpPr/>
      </xdr:nvSpPr>
      <xdr:spPr>
        <a:xfrm>
          <a:off x="3314951" y="1134227"/>
          <a:ext cx="589046" cy="1942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593009</xdr:colOff>
      <xdr:row>0</xdr:row>
      <xdr:rowOff>0</xdr:rowOff>
    </xdr:from>
    <xdr:to>
      <xdr:col>12</xdr:col>
      <xdr:colOff>284672</xdr:colOff>
      <xdr:row>9</xdr:row>
      <xdr:rowOff>166085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02845ED-057C-5129-7D48-7E3100F23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0385" y="0"/>
          <a:ext cx="3347843" cy="1869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964A8791-D01E-EA8E-1121-034B5A8081D5}"/>
            </a:ext>
          </a:extLst>
        </xdr:cNvPr>
        <xdr:cNvSpPr/>
      </xdr:nvSpPr>
      <xdr:spPr>
        <a:xfrm>
          <a:off x="2849756" y="232317"/>
          <a:ext cx="735671" cy="1626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65F83E45-1F40-8BB6-1952-CC0BE21707DD}"/>
            </a:ext>
          </a:extLst>
        </xdr:cNvPr>
        <xdr:cNvSpPr/>
      </xdr:nvSpPr>
      <xdr:spPr>
        <a:xfrm>
          <a:off x="3788954" y="589096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C036EE31-D2D6-FE8A-3C79-ADBCECCD1D5F}"/>
            </a:ext>
          </a:extLst>
        </xdr:cNvPr>
        <xdr:cNvSpPr/>
      </xdr:nvSpPr>
      <xdr:spPr>
        <a:xfrm>
          <a:off x="3787288" y="983782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428354</xdr:colOff>
      <xdr:row>0</xdr:row>
      <xdr:rowOff>0</xdr:rowOff>
    </xdr:from>
    <xdr:to>
      <xdr:col>12</xdr:col>
      <xdr:colOff>524638</xdr:colOff>
      <xdr:row>43</xdr:row>
      <xdr:rowOff>67828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798996-9EDB-1169-BEAD-74D207B9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354" y="0"/>
          <a:ext cx="7393403" cy="81667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907851</xdr:colOff>
      <xdr:row>3</xdr:row>
      <xdr:rowOff>14882</xdr:rowOff>
    </xdr:from>
    <xdr:to>
      <xdr:col>4</xdr:col>
      <xdr:colOff>669725</xdr:colOff>
      <xdr:row>4</xdr:row>
      <xdr:rowOff>37207</xdr:rowOff>
    </xdr:to>
    <xdr:sp macro="[0]!Inserir_entrada" textlink="">
      <xdr:nvSpPr>
        <xdr:cNvPr id="2" name="Retângulo 1">
          <a:extLst>
            <a:ext uri="{FF2B5EF4-FFF2-40B4-BE49-F238E27FC236}">
              <a16:creationId xmlns:a16="http://schemas.microsoft.com/office/drawing/2014/main" id="{D38AE517-0E77-AEBE-6394-0FF4488DD876}"/>
            </a:ext>
          </a:extLst>
        </xdr:cNvPr>
        <xdr:cNvSpPr/>
      </xdr:nvSpPr>
      <xdr:spPr>
        <a:xfrm>
          <a:off x="6667499" y="595312"/>
          <a:ext cx="684609" cy="215801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11012</xdr:colOff>
      <xdr:row>4</xdr:row>
      <xdr:rowOff>182165</xdr:rowOff>
    </xdr:from>
    <xdr:to>
      <xdr:col>5</xdr:col>
      <xdr:colOff>11013</xdr:colOff>
      <xdr:row>5</xdr:row>
      <xdr:rowOff>204489</xdr:rowOff>
    </xdr:to>
    <xdr:sp macro="[0]!Apagar_entrada" textlink="">
      <xdr:nvSpPr>
        <xdr:cNvPr id="3" name="Retângulo 2">
          <a:extLst>
            <a:ext uri="{FF2B5EF4-FFF2-40B4-BE49-F238E27FC236}">
              <a16:creationId xmlns:a16="http://schemas.microsoft.com/office/drawing/2014/main" id="{A28A0AA7-740F-4C15-85A9-E8914E766F2D}"/>
            </a:ext>
          </a:extLst>
        </xdr:cNvPr>
        <xdr:cNvSpPr/>
      </xdr:nvSpPr>
      <xdr:spPr>
        <a:xfrm>
          <a:off x="5517653" y="956071"/>
          <a:ext cx="610196" cy="21580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916893</xdr:colOff>
      <xdr:row>1</xdr:row>
      <xdr:rowOff>26705</xdr:rowOff>
    </xdr:from>
    <xdr:to>
      <xdr:col>4</xdr:col>
      <xdr:colOff>632032</xdr:colOff>
      <xdr:row>2</xdr:row>
      <xdr:rowOff>17802</xdr:rowOff>
    </xdr:to>
    <xdr:sp macro="[0]!Limpar_entrada" textlink="">
      <xdr:nvSpPr>
        <xdr:cNvPr id="4" name="Retângulo 3">
          <a:extLst>
            <a:ext uri="{FF2B5EF4-FFF2-40B4-BE49-F238E27FC236}">
              <a16:creationId xmlns:a16="http://schemas.microsoft.com/office/drawing/2014/main" id="{622C1325-D9CB-2AFF-19FD-8C50B751CD6A}"/>
            </a:ext>
          </a:extLst>
        </xdr:cNvPr>
        <xdr:cNvSpPr/>
      </xdr:nvSpPr>
      <xdr:spPr>
        <a:xfrm>
          <a:off x="6676402" y="213644"/>
          <a:ext cx="640934" cy="17803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3B8-F5C5-4EFC-9044-25EF086ECFEE}">
  <sheetPr codeName="Planilha1"/>
  <dimension ref="A1:F108"/>
  <sheetViews>
    <sheetView topLeftCell="A23" zoomScale="94" zoomScaleNormal="100" workbookViewId="0">
      <selection activeCell="F1" sqref="F1"/>
    </sheetView>
  </sheetViews>
  <sheetFormatPr defaultRowHeight="15" x14ac:dyDescent="0.25"/>
  <cols>
    <col min="1" max="1" width="28.7109375" customWidth="1"/>
    <col min="2" max="2" width="35.140625" customWidth="1"/>
    <col min="3" max="3" width="15.28515625" customWidth="1"/>
    <col min="4" max="4" width="17" customWidth="1"/>
    <col min="5" max="5" width="32.85546875" customWidth="1"/>
    <col min="6" max="6" width="33.28515625" customWidth="1"/>
  </cols>
  <sheetData>
    <row r="1" spans="1:6" x14ac:dyDescent="0.25">
      <c r="A1" s="2" t="s">
        <v>5</v>
      </c>
      <c r="B1" s="7">
        <v>1</v>
      </c>
    </row>
    <row r="2" spans="1:6" x14ac:dyDescent="0.25">
      <c r="A2" s="3" t="s">
        <v>1</v>
      </c>
      <c r="B2" s="7">
        <v>1</v>
      </c>
      <c r="E2" t="s">
        <v>6</v>
      </c>
      <c r="F2" s="8"/>
    </row>
    <row r="3" spans="1:6" x14ac:dyDescent="0.25">
      <c r="A3" s="3" t="s">
        <v>79</v>
      </c>
      <c r="B3" s="7">
        <v>1</v>
      </c>
    </row>
    <row r="4" spans="1:6" x14ac:dyDescent="0.25">
      <c r="A4" s="3" t="s">
        <v>80</v>
      </c>
      <c r="B4" s="7">
        <v>1</v>
      </c>
      <c r="E4" t="s">
        <v>7</v>
      </c>
    </row>
    <row r="5" spans="1:6" x14ac:dyDescent="0.25">
      <c r="A5" s="3" t="s">
        <v>81</v>
      </c>
      <c r="B5" s="7">
        <v>1</v>
      </c>
    </row>
    <row r="6" spans="1:6" x14ac:dyDescent="0.25">
      <c r="B6" s="6"/>
      <c r="E6" t="s">
        <v>8</v>
      </c>
    </row>
    <row r="8" spans="1:6" ht="22.5" customHeight="1" x14ac:dyDescent="0.25">
      <c r="A8" s="2" t="s">
        <v>5</v>
      </c>
      <c r="B8" s="3" t="s">
        <v>1</v>
      </c>
      <c r="C8" s="3" t="s">
        <v>79</v>
      </c>
      <c r="D8" s="3" t="s">
        <v>80</v>
      </c>
      <c r="E8" s="3" t="s">
        <v>81</v>
      </c>
    </row>
    <row r="9" spans="1:6" ht="25.5" customHeight="1" x14ac:dyDescent="0.25">
      <c r="A9" s="1" t="s">
        <v>140</v>
      </c>
      <c r="B9" s="1" t="s">
        <v>215</v>
      </c>
      <c r="C9" s="1" t="s">
        <v>225</v>
      </c>
      <c r="D9" s="1" t="s">
        <v>141</v>
      </c>
      <c r="E9" s="1" t="s">
        <v>325</v>
      </c>
    </row>
    <row r="10" spans="1:6" ht="21.75" customHeight="1" x14ac:dyDescent="0.25">
      <c r="A10" s="1" t="s">
        <v>144</v>
      </c>
      <c r="B10" s="1" t="s">
        <v>216</v>
      </c>
      <c r="C10" s="1" t="s">
        <v>226</v>
      </c>
      <c r="D10" s="1" t="s">
        <v>145</v>
      </c>
      <c r="E10" s="1" t="s">
        <v>326</v>
      </c>
    </row>
    <row r="11" spans="1:6" ht="20.25" customHeight="1" x14ac:dyDescent="0.25">
      <c r="A11" s="1" t="s">
        <v>140</v>
      </c>
      <c r="B11" s="1" t="s">
        <v>217</v>
      </c>
      <c r="C11" s="1" t="s">
        <v>227</v>
      </c>
      <c r="D11" s="1" t="s">
        <v>147</v>
      </c>
      <c r="E11" s="1" t="s">
        <v>327</v>
      </c>
    </row>
    <row r="12" spans="1:6" ht="33" customHeight="1" x14ac:dyDescent="0.25">
      <c r="A12" s="1" t="s">
        <v>149</v>
      </c>
      <c r="B12" s="1" t="s">
        <v>218</v>
      </c>
      <c r="C12" s="1" t="s">
        <v>228</v>
      </c>
      <c r="D12" s="1" t="s">
        <v>150</v>
      </c>
      <c r="E12" s="1" t="s">
        <v>328</v>
      </c>
    </row>
    <row r="13" spans="1:6" ht="18.75" customHeight="1" x14ac:dyDescent="0.25">
      <c r="A13" s="1" t="s">
        <v>144</v>
      </c>
      <c r="B13" s="1" t="s">
        <v>218</v>
      </c>
      <c r="C13" s="1" t="s">
        <v>229</v>
      </c>
      <c r="D13" s="1" t="s">
        <v>147</v>
      </c>
      <c r="E13" s="1" t="s">
        <v>329</v>
      </c>
    </row>
    <row r="14" spans="1:6" ht="24.75" customHeight="1" x14ac:dyDescent="0.25">
      <c r="A14" s="1" t="s">
        <v>153</v>
      </c>
      <c r="B14" s="1" t="s">
        <v>217</v>
      </c>
      <c r="C14" s="1" t="s">
        <v>230</v>
      </c>
      <c r="D14" s="1" t="s">
        <v>147</v>
      </c>
      <c r="E14" s="1" t="s">
        <v>330</v>
      </c>
    </row>
    <row r="15" spans="1:6" ht="30.75" customHeight="1" x14ac:dyDescent="0.25">
      <c r="A15" s="1" t="s">
        <v>155</v>
      </c>
      <c r="B15" s="1" t="s">
        <v>219</v>
      </c>
      <c r="C15" s="1" t="s">
        <v>231</v>
      </c>
      <c r="D15" s="1" t="s">
        <v>141</v>
      </c>
      <c r="E15" s="1" t="s">
        <v>331</v>
      </c>
    </row>
    <row r="16" spans="1:6" ht="36.75" customHeight="1" x14ac:dyDescent="0.25">
      <c r="A16" s="1" t="s">
        <v>155</v>
      </c>
      <c r="B16" s="1" t="s">
        <v>216</v>
      </c>
      <c r="C16" s="1" t="s">
        <v>232</v>
      </c>
      <c r="D16" s="1" t="s">
        <v>150</v>
      </c>
      <c r="E16" s="1" t="s">
        <v>332</v>
      </c>
    </row>
    <row r="17" spans="1:5" ht="23.25" customHeight="1" x14ac:dyDescent="0.25">
      <c r="A17" s="1" t="s">
        <v>144</v>
      </c>
      <c r="B17" s="1" t="s">
        <v>218</v>
      </c>
      <c r="C17" s="1" t="s">
        <v>233</v>
      </c>
      <c r="D17" s="1" t="s">
        <v>150</v>
      </c>
      <c r="E17" s="1" t="s">
        <v>333</v>
      </c>
    </row>
    <row r="18" spans="1:5" ht="23.25" customHeight="1" x14ac:dyDescent="0.25">
      <c r="A18" s="1" t="s">
        <v>144</v>
      </c>
      <c r="B18" s="1" t="s">
        <v>215</v>
      </c>
      <c r="C18" s="1" t="s">
        <v>234</v>
      </c>
      <c r="D18" s="1" t="s">
        <v>147</v>
      </c>
      <c r="E18" s="1" t="s">
        <v>334</v>
      </c>
    </row>
    <row r="19" spans="1:5" ht="21" customHeight="1" x14ac:dyDescent="0.25">
      <c r="A19" s="1" t="s">
        <v>153</v>
      </c>
      <c r="B19" s="1" t="s">
        <v>220</v>
      </c>
      <c r="C19" s="1" t="s">
        <v>235</v>
      </c>
      <c r="D19" s="1" t="s">
        <v>145</v>
      </c>
      <c r="E19" s="1" t="s">
        <v>335</v>
      </c>
    </row>
    <row r="20" spans="1:5" ht="18.75" customHeight="1" x14ac:dyDescent="0.25">
      <c r="A20" s="1" t="s">
        <v>155</v>
      </c>
      <c r="B20" s="1" t="s">
        <v>221</v>
      </c>
      <c r="C20" s="1" t="s">
        <v>236</v>
      </c>
      <c r="D20" s="1" t="s">
        <v>141</v>
      </c>
      <c r="E20" s="1" t="s">
        <v>336</v>
      </c>
    </row>
    <row r="21" spans="1:5" ht="20.25" customHeight="1" x14ac:dyDescent="0.25">
      <c r="A21" s="1" t="s">
        <v>155</v>
      </c>
      <c r="B21" s="1" t="s">
        <v>222</v>
      </c>
      <c r="C21" s="1" t="s">
        <v>237</v>
      </c>
      <c r="D21" s="1" t="s">
        <v>150</v>
      </c>
      <c r="E21" s="1" t="s">
        <v>337</v>
      </c>
    </row>
    <row r="22" spans="1:5" ht="20.25" customHeight="1" x14ac:dyDescent="0.25">
      <c r="A22" s="1" t="s">
        <v>140</v>
      </c>
      <c r="B22" s="1" t="s">
        <v>220</v>
      </c>
      <c r="C22" s="1" t="s">
        <v>238</v>
      </c>
      <c r="D22" s="1" t="s">
        <v>141</v>
      </c>
      <c r="E22" s="1" t="s">
        <v>338</v>
      </c>
    </row>
    <row r="23" spans="1:5" ht="20.25" customHeight="1" x14ac:dyDescent="0.25">
      <c r="A23" s="1" t="s">
        <v>140</v>
      </c>
      <c r="B23" s="1" t="s">
        <v>221</v>
      </c>
      <c r="C23" s="1" t="s">
        <v>239</v>
      </c>
      <c r="D23" s="1" t="s">
        <v>163</v>
      </c>
      <c r="E23" s="1" t="s">
        <v>339</v>
      </c>
    </row>
    <row r="24" spans="1:5" ht="34.5" customHeight="1" x14ac:dyDescent="0.25">
      <c r="A24" s="1" t="s">
        <v>149</v>
      </c>
      <c r="B24" s="1" t="s">
        <v>223</v>
      </c>
      <c r="C24" s="1" t="s">
        <v>240</v>
      </c>
      <c r="D24" s="1" t="s">
        <v>147</v>
      </c>
      <c r="E24" s="1" t="s">
        <v>340</v>
      </c>
    </row>
    <row r="25" spans="1:5" ht="21" customHeight="1" x14ac:dyDescent="0.25">
      <c r="A25" s="1" t="s">
        <v>144</v>
      </c>
      <c r="B25" s="1" t="s">
        <v>222</v>
      </c>
      <c r="C25" s="1" t="s">
        <v>241</v>
      </c>
      <c r="D25" s="1" t="s">
        <v>147</v>
      </c>
      <c r="E25" s="1" t="s">
        <v>341</v>
      </c>
    </row>
    <row r="26" spans="1:5" ht="21.75" customHeight="1" x14ac:dyDescent="0.25">
      <c r="A26" s="1" t="s">
        <v>140</v>
      </c>
      <c r="B26" s="1" t="s">
        <v>222</v>
      </c>
      <c r="C26" s="1" t="s">
        <v>242</v>
      </c>
      <c r="D26" s="1" t="s">
        <v>141</v>
      </c>
      <c r="E26" s="1" t="s">
        <v>342</v>
      </c>
    </row>
    <row r="27" spans="1:5" ht="21.75" customHeight="1" x14ac:dyDescent="0.25">
      <c r="A27" s="1" t="s">
        <v>149</v>
      </c>
      <c r="B27" s="1" t="s">
        <v>221</v>
      </c>
      <c r="C27" s="1" t="s">
        <v>243</v>
      </c>
      <c r="D27" s="1" t="s">
        <v>141</v>
      </c>
      <c r="E27" s="1" t="s">
        <v>343</v>
      </c>
    </row>
    <row r="28" spans="1:5" ht="21.75" customHeight="1" x14ac:dyDescent="0.25">
      <c r="A28" s="1" t="s">
        <v>144</v>
      </c>
      <c r="B28" s="1" t="s">
        <v>224</v>
      </c>
      <c r="C28" s="1" t="s">
        <v>244</v>
      </c>
      <c r="D28" s="1" t="s">
        <v>145</v>
      </c>
      <c r="E28" s="1" t="s">
        <v>344</v>
      </c>
    </row>
    <row r="29" spans="1:5" x14ac:dyDescent="0.25">
      <c r="A29" s="1" t="s">
        <v>155</v>
      </c>
      <c r="B29" s="1" t="s">
        <v>216</v>
      </c>
      <c r="C29" s="1" t="s">
        <v>245</v>
      </c>
      <c r="D29" s="1" t="s">
        <v>163</v>
      </c>
      <c r="E29" s="1" t="s">
        <v>345</v>
      </c>
    </row>
    <row r="30" spans="1:5" x14ac:dyDescent="0.25">
      <c r="A30" s="1" t="s">
        <v>153</v>
      </c>
      <c r="B30" s="1" t="s">
        <v>218</v>
      </c>
      <c r="C30" s="1" t="s">
        <v>246</v>
      </c>
      <c r="D30" s="1" t="s">
        <v>163</v>
      </c>
      <c r="E30" s="1" t="s">
        <v>346</v>
      </c>
    </row>
    <row r="31" spans="1:5" x14ac:dyDescent="0.25">
      <c r="A31" s="1" t="s">
        <v>149</v>
      </c>
      <c r="B31" s="1" t="s">
        <v>221</v>
      </c>
      <c r="C31" s="1" t="s">
        <v>247</v>
      </c>
      <c r="D31" s="1" t="s">
        <v>147</v>
      </c>
      <c r="E31" s="1" t="s">
        <v>347</v>
      </c>
    </row>
    <row r="32" spans="1:5" x14ac:dyDescent="0.25">
      <c r="A32" s="1" t="s">
        <v>153</v>
      </c>
      <c r="B32" s="1" t="s">
        <v>215</v>
      </c>
      <c r="C32" s="1" t="s">
        <v>248</v>
      </c>
      <c r="D32" s="1" t="s">
        <v>141</v>
      </c>
      <c r="E32" s="1" t="s">
        <v>348</v>
      </c>
    </row>
    <row r="33" spans="1:5" x14ac:dyDescent="0.25">
      <c r="A33" s="1" t="s">
        <v>144</v>
      </c>
      <c r="B33" s="1" t="s">
        <v>220</v>
      </c>
      <c r="C33" s="1" t="s">
        <v>249</v>
      </c>
      <c r="D33" s="1" t="s">
        <v>150</v>
      </c>
      <c r="E33" s="1" t="s">
        <v>349</v>
      </c>
    </row>
    <row r="34" spans="1:5" x14ac:dyDescent="0.25">
      <c r="A34" s="1" t="s">
        <v>140</v>
      </c>
      <c r="B34" s="1" t="s">
        <v>221</v>
      </c>
      <c r="C34" s="1" t="s">
        <v>250</v>
      </c>
      <c r="D34" s="1" t="s">
        <v>150</v>
      </c>
      <c r="E34" s="1" t="s">
        <v>350</v>
      </c>
    </row>
    <row r="35" spans="1:5" x14ac:dyDescent="0.25">
      <c r="A35" s="1" t="s">
        <v>153</v>
      </c>
      <c r="B35" s="1" t="s">
        <v>221</v>
      </c>
      <c r="C35" s="1" t="s">
        <v>251</v>
      </c>
      <c r="D35" s="1" t="s">
        <v>147</v>
      </c>
      <c r="E35" s="1" t="s">
        <v>351</v>
      </c>
    </row>
    <row r="36" spans="1:5" x14ac:dyDescent="0.25">
      <c r="A36" s="1" t="s">
        <v>153</v>
      </c>
      <c r="B36" s="1" t="s">
        <v>217</v>
      </c>
      <c r="C36" s="1" t="s">
        <v>252</v>
      </c>
      <c r="D36" s="1" t="s">
        <v>163</v>
      </c>
      <c r="E36" s="1" t="s">
        <v>352</v>
      </c>
    </row>
    <row r="37" spans="1:5" x14ac:dyDescent="0.25">
      <c r="A37" s="1" t="s">
        <v>153</v>
      </c>
      <c r="B37" s="1" t="s">
        <v>218</v>
      </c>
      <c r="C37" s="1" t="s">
        <v>253</v>
      </c>
      <c r="D37" s="1" t="s">
        <v>163</v>
      </c>
      <c r="E37" s="1" t="s">
        <v>353</v>
      </c>
    </row>
    <row r="38" spans="1:5" x14ac:dyDescent="0.25">
      <c r="A38" s="1" t="s">
        <v>155</v>
      </c>
      <c r="B38" s="1" t="s">
        <v>224</v>
      </c>
      <c r="C38" s="1" t="s">
        <v>254</v>
      </c>
      <c r="D38" s="1" t="s">
        <v>141</v>
      </c>
      <c r="E38" s="1" t="s">
        <v>354</v>
      </c>
    </row>
    <row r="39" spans="1:5" x14ac:dyDescent="0.25">
      <c r="A39" s="1" t="s">
        <v>155</v>
      </c>
      <c r="B39" s="1" t="s">
        <v>224</v>
      </c>
      <c r="C39" s="1" t="s">
        <v>255</v>
      </c>
      <c r="D39" s="1" t="s">
        <v>163</v>
      </c>
      <c r="E39" s="1" t="s">
        <v>355</v>
      </c>
    </row>
    <row r="40" spans="1:5" x14ac:dyDescent="0.25">
      <c r="A40" s="1" t="s">
        <v>153</v>
      </c>
      <c r="B40" s="1" t="s">
        <v>216</v>
      </c>
      <c r="C40" s="1" t="s">
        <v>256</v>
      </c>
      <c r="D40" s="1" t="s">
        <v>163</v>
      </c>
      <c r="E40" s="1" t="s">
        <v>356</v>
      </c>
    </row>
    <row r="41" spans="1:5" x14ac:dyDescent="0.25">
      <c r="A41" s="1" t="s">
        <v>149</v>
      </c>
      <c r="B41" s="1" t="s">
        <v>224</v>
      </c>
      <c r="C41" s="1" t="s">
        <v>257</v>
      </c>
      <c r="D41" s="1" t="s">
        <v>163</v>
      </c>
      <c r="E41" s="1" t="s">
        <v>357</v>
      </c>
    </row>
    <row r="42" spans="1:5" x14ac:dyDescent="0.25">
      <c r="A42" s="1" t="s">
        <v>140</v>
      </c>
      <c r="B42" s="1" t="s">
        <v>222</v>
      </c>
      <c r="C42" s="1" t="s">
        <v>258</v>
      </c>
      <c r="D42" s="1" t="s">
        <v>147</v>
      </c>
      <c r="E42" s="1" t="s">
        <v>358</v>
      </c>
    </row>
    <row r="43" spans="1:5" x14ac:dyDescent="0.25">
      <c r="A43" s="1" t="s">
        <v>155</v>
      </c>
      <c r="B43" s="1" t="s">
        <v>222</v>
      </c>
      <c r="C43" s="1" t="s">
        <v>259</v>
      </c>
      <c r="D43" s="1" t="s">
        <v>163</v>
      </c>
      <c r="E43" s="1" t="s">
        <v>359</v>
      </c>
    </row>
    <row r="44" spans="1:5" x14ac:dyDescent="0.25">
      <c r="A44" s="1" t="s">
        <v>140</v>
      </c>
      <c r="B44" s="1" t="s">
        <v>219</v>
      </c>
      <c r="C44" s="1" t="s">
        <v>260</v>
      </c>
      <c r="D44" s="1" t="s">
        <v>150</v>
      </c>
      <c r="E44" s="1" t="s">
        <v>360</v>
      </c>
    </row>
    <row r="45" spans="1:5" x14ac:dyDescent="0.25">
      <c r="A45" s="1" t="s">
        <v>155</v>
      </c>
      <c r="B45" s="1" t="s">
        <v>220</v>
      </c>
      <c r="C45" s="1" t="s">
        <v>261</v>
      </c>
      <c r="D45" s="1" t="s">
        <v>141</v>
      </c>
      <c r="E45" s="1" t="s">
        <v>361</v>
      </c>
    </row>
    <row r="46" spans="1:5" x14ac:dyDescent="0.25">
      <c r="A46" s="1" t="s">
        <v>149</v>
      </c>
      <c r="B46" s="1" t="s">
        <v>219</v>
      </c>
      <c r="C46" s="1" t="s">
        <v>262</v>
      </c>
      <c r="D46" s="1" t="s">
        <v>147</v>
      </c>
      <c r="E46" s="1" t="s">
        <v>362</v>
      </c>
    </row>
    <row r="47" spans="1:5" x14ac:dyDescent="0.25">
      <c r="A47" s="1" t="s">
        <v>144</v>
      </c>
      <c r="B47" s="1" t="s">
        <v>216</v>
      </c>
      <c r="C47" s="1" t="s">
        <v>263</v>
      </c>
      <c r="D47" s="1" t="s">
        <v>150</v>
      </c>
      <c r="E47" s="1" t="s">
        <v>363</v>
      </c>
    </row>
    <row r="48" spans="1:5" x14ac:dyDescent="0.25">
      <c r="A48" s="1" t="s">
        <v>155</v>
      </c>
      <c r="B48" s="1" t="s">
        <v>216</v>
      </c>
      <c r="C48" s="1" t="s">
        <v>264</v>
      </c>
      <c r="D48" s="1" t="s">
        <v>141</v>
      </c>
      <c r="E48" s="1" t="s">
        <v>364</v>
      </c>
    </row>
    <row r="49" spans="1:5" x14ac:dyDescent="0.25">
      <c r="A49" s="1" t="s">
        <v>149</v>
      </c>
      <c r="B49" s="1" t="s">
        <v>220</v>
      </c>
      <c r="C49" s="1" t="s">
        <v>265</v>
      </c>
      <c r="D49" s="1" t="s">
        <v>141</v>
      </c>
      <c r="E49" s="1" t="s">
        <v>365</v>
      </c>
    </row>
    <row r="50" spans="1:5" x14ac:dyDescent="0.25">
      <c r="A50" s="1" t="s">
        <v>140</v>
      </c>
      <c r="B50" s="1" t="s">
        <v>220</v>
      </c>
      <c r="C50" s="1" t="s">
        <v>266</v>
      </c>
      <c r="D50" s="1" t="s">
        <v>147</v>
      </c>
      <c r="E50" s="1" t="s">
        <v>366</v>
      </c>
    </row>
    <row r="51" spans="1:5" x14ac:dyDescent="0.25">
      <c r="A51" s="1" t="s">
        <v>140</v>
      </c>
      <c r="B51" s="1" t="s">
        <v>222</v>
      </c>
      <c r="C51" s="1" t="s">
        <v>267</v>
      </c>
      <c r="D51" s="1" t="s">
        <v>145</v>
      </c>
      <c r="E51" s="1" t="s">
        <v>367</v>
      </c>
    </row>
    <row r="52" spans="1:5" x14ac:dyDescent="0.25">
      <c r="A52" s="1" t="s">
        <v>155</v>
      </c>
      <c r="B52" s="1" t="s">
        <v>221</v>
      </c>
      <c r="C52" s="1" t="s">
        <v>268</v>
      </c>
      <c r="D52" s="1" t="s">
        <v>163</v>
      </c>
      <c r="E52" s="1" t="s">
        <v>368</v>
      </c>
    </row>
    <row r="53" spans="1:5" x14ac:dyDescent="0.25">
      <c r="A53" s="1" t="s">
        <v>140</v>
      </c>
      <c r="B53" s="1" t="s">
        <v>217</v>
      </c>
      <c r="C53" s="1" t="s">
        <v>269</v>
      </c>
      <c r="D53" s="1" t="s">
        <v>147</v>
      </c>
      <c r="E53" s="1" t="s">
        <v>369</v>
      </c>
    </row>
    <row r="54" spans="1:5" x14ac:dyDescent="0.25">
      <c r="A54" s="1" t="s">
        <v>140</v>
      </c>
      <c r="B54" s="1" t="s">
        <v>222</v>
      </c>
      <c r="C54" s="1" t="s">
        <v>270</v>
      </c>
      <c r="D54" s="1" t="s">
        <v>141</v>
      </c>
      <c r="E54" s="1" t="s">
        <v>370</v>
      </c>
    </row>
    <row r="55" spans="1:5" x14ac:dyDescent="0.25">
      <c r="A55" s="1" t="s">
        <v>155</v>
      </c>
      <c r="B55" s="1" t="s">
        <v>221</v>
      </c>
      <c r="C55" s="1" t="s">
        <v>271</v>
      </c>
      <c r="D55" s="1" t="s">
        <v>150</v>
      </c>
      <c r="E55" s="1" t="s">
        <v>371</v>
      </c>
    </row>
    <row r="56" spans="1:5" x14ac:dyDescent="0.25">
      <c r="A56" s="1" t="s">
        <v>140</v>
      </c>
      <c r="B56" s="1" t="s">
        <v>217</v>
      </c>
      <c r="C56" s="1" t="s">
        <v>272</v>
      </c>
      <c r="D56" s="1" t="s">
        <v>163</v>
      </c>
      <c r="E56" s="1" t="s">
        <v>372</v>
      </c>
    </row>
    <row r="57" spans="1:5" x14ac:dyDescent="0.25">
      <c r="A57" s="1" t="s">
        <v>144</v>
      </c>
      <c r="B57" s="1" t="s">
        <v>220</v>
      </c>
      <c r="C57" s="1" t="s">
        <v>273</v>
      </c>
      <c r="D57" s="1" t="s">
        <v>141</v>
      </c>
      <c r="E57" s="1" t="s">
        <v>373</v>
      </c>
    </row>
    <row r="58" spans="1:5" x14ac:dyDescent="0.25">
      <c r="A58" s="1" t="s">
        <v>153</v>
      </c>
      <c r="B58" s="1" t="s">
        <v>218</v>
      </c>
      <c r="C58" s="1" t="s">
        <v>274</v>
      </c>
      <c r="D58" s="1" t="s">
        <v>145</v>
      </c>
      <c r="E58" s="1" t="s">
        <v>374</v>
      </c>
    </row>
    <row r="59" spans="1:5" x14ac:dyDescent="0.25">
      <c r="A59" s="1" t="s">
        <v>149</v>
      </c>
      <c r="B59" s="1" t="s">
        <v>220</v>
      </c>
      <c r="C59" s="1" t="s">
        <v>275</v>
      </c>
      <c r="D59" s="1" t="s">
        <v>147</v>
      </c>
      <c r="E59" s="1" t="s">
        <v>375</v>
      </c>
    </row>
    <row r="60" spans="1:5" x14ac:dyDescent="0.25">
      <c r="A60" s="1" t="s">
        <v>155</v>
      </c>
      <c r="B60" s="1" t="s">
        <v>218</v>
      </c>
      <c r="C60" s="1" t="s">
        <v>276</v>
      </c>
      <c r="D60" s="1" t="s">
        <v>163</v>
      </c>
      <c r="E60" s="1" t="s">
        <v>376</v>
      </c>
    </row>
    <row r="61" spans="1:5" x14ac:dyDescent="0.25">
      <c r="A61" s="1" t="s">
        <v>153</v>
      </c>
      <c r="B61" s="1" t="s">
        <v>218</v>
      </c>
      <c r="C61" s="1" t="s">
        <v>277</v>
      </c>
      <c r="D61" s="1" t="s">
        <v>145</v>
      </c>
      <c r="E61" s="1" t="s">
        <v>377</v>
      </c>
    </row>
    <row r="62" spans="1:5" x14ac:dyDescent="0.25">
      <c r="A62" s="1" t="s">
        <v>144</v>
      </c>
      <c r="B62" s="1" t="s">
        <v>222</v>
      </c>
      <c r="C62" s="1" t="s">
        <v>278</v>
      </c>
      <c r="D62" s="1" t="s">
        <v>145</v>
      </c>
      <c r="E62" s="1" t="s">
        <v>378</v>
      </c>
    </row>
    <row r="63" spans="1:5" x14ac:dyDescent="0.25">
      <c r="A63" s="1" t="s">
        <v>149</v>
      </c>
      <c r="B63" s="1" t="s">
        <v>217</v>
      </c>
      <c r="C63" s="1" t="s">
        <v>279</v>
      </c>
      <c r="D63" s="1" t="s">
        <v>147</v>
      </c>
      <c r="E63" s="1" t="s">
        <v>379</v>
      </c>
    </row>
    <row r="64" spans="1:5" x14ac:dyDescent="0.25">
      <c r="A64" s="1" t="s">
        <v>153</v>
      </c>
      <c r="B64" s="1" t="s">
        <v>215</v>
      </c>
      <c r="C64" s="1" t="s">
        <v>280</v>
      </c>
      <c r="D64" s="1" t="s">
        <v>141</v>
      </c>
      <c r="E64" s="1" t="s">
        <v>380</v>
      </c>
    </row>
    <row r="65" spans="1:5" x14ac:dyDescent="0.25">
      <c r="A65" s="1" t="s">
        <v>155</v>
      </c>
      <c r="B65" s="1" t="s">
        <v>218</v>
      </c>
      <c r="C65" s="1" t="s">
        <v>281</v>
      </c>
      <c r="D65" s="1" t="s">
        <v>141</v>
      </c>
      <c r="E65" s="1" t="s">
        <v>381</v>
      </c>
    </row>
    <row r="66" spans="1:5" x14ac:dyDescent="0.25">
      <c r="A66" s="1" t="s">
        <v>149</v>
      </c>
      <c r="B66" s="1" t="s">
        <v>215</v>
      </c>
      <c r="C66" s="1" t="s">
        <v>282</v>
      </c>
      <c r="D66" s="1" t="s">
        <v>147</v>
      </c>
      <c r="E66" s="1" t="s">
        <v>382</v>
      </c>
    </row>
    <row r="67" spans="1:5" x14ac:dyDescent="0.25">
      <c r="A67" s="1" t="s">
        <v>140</v>
      </c>
      <c r="B67" s="1" t="s">
        <v>215</v>
      </c>
      <c r="C67" s="1" t="s">
        <v>283</v>
      </c>
      <c r="D67" s="1" t="s">
        <v>147</v>
      </c>
      <c r="E67" s="1" t="s">
        <v>383</v>
      </c>
    </row>
    <row r="68" spans="1:5" x14ac:dyDescent="0.25">
      <c r="A68" s="1" t="s">
        <v>155</v>
      </c>
      <c r="B68" s="1" t="s">
        <v>219</v>
      </c>
      <c r="C68" s="1" t="s">
        <v>284</v>
      </c>
      <c r="D68" s="1" t="s">
        <v>150</v>
      </c>
      <c r="E68" s="1" t="s">
        <v>384</v>
      </c>
    </row>
    <row r="69" spans="1:5" x14ac:dyDescent="0.25">
      <c r="A69" s="1" t="s">
        <v>155</v>
      </c>
      <c r="B69" s="1" t="s">
        <v>218</v>
      </c>
      <c r="C69" s="1" t="s">
        <v>285</v>
      </c>
      <c r="D69" s="1" t="s">
        <v>150</v>
      </c>
      <c r="E69" s="1" t="s">
        <v>385</v>
      </c>
    </row>
    <row r="70" spans="1:5" x14ac:dyDescent="0.25">
      <c r="A70" s="1" t="s">
        <v>153</v>
      </c>
      <c r="B70" s="1" t="s">
        <v>215</v>
      </c>
      <c r="C70" s="1" t="s">
        <v>286</v>
      </c>
      <c r="D70" s="1" t="s">
        <v>163</v>
      </c>
      <c r="E70" s="1" t="s">
        <v>386</v>
      </c>
    </row>
    <row r="71" spans="1:5" x14ac:dyDescent="0.25">
      <c r="A71" s="1" t="s">
        <v>144</v>
      </c>
      <c r="B71" s="1" t="s">
        <v>215</v>
      </c>
      <c r="C71" s="1" t="s">
        <v>287</v>
      </c>
      <c r="D71" s="1" t="s">
        <v>163</v>
      </c>
      <c r="E71" s="1" t="s">
        <v>387</v>
      </c>
    </row>
    <row r="72" spans="1:5" x14ac:dyDescent="0.25">
      <c r="A72" s="1" t="s">
        <v>155</v>
      </c>
      <c r="B72" s="1" t="s">
        <v>224</v>
      </c>
      <c r="C72" s="1" t="s">
        <v>288</v>
      </c>
      <c r="D72" s="1" t="s">
        <v>147</v>
      </c>
      <c r="E72" s="1" t="s">
        <v>388</v>
      </c>
    </row>
    <row r="73" spans="1:5" x14ac:dyDescent="0.25">
      <c r="A73" s="1" t="s">
        <v>140</v>
      </c>
      <c r="B73" s="1" t="s">
        <v>220</v>
      </c>
      <c r="C73" s="1" t="s">
        <v>289</v>
      </c>
      <c r="D73" s="1" t="s">
        <v>163</v>
      </c>
      <c r="E73" s="1" t="s">
        <v>389</v>
      </c>
    </row>
    <row r="74" spans="1:5" x14ac:dyDescent="0.25">
      <c r="A74" s="1" t="s">
        <v>149</v>
      </c>
      <c r="B74" s="1" t="s">
        <v>221</v>
      </c>
      <c r="C74" s="1" t="s">
        <v>290</v>
      </c>
      <c r="D74" s="1" t="s">
        <v>141</v>
      </c>
      <c r="E74" s="1" t="s">
        <v>390</v>
      </c>
    </row>
    <row r="75" spans="1:5" x14ac:dyDescent="0.25">
      <c r="A75" s="1" t="s">
        <v>155</v>
      </c>
      <c r="B75" s="1" t="s">
        <v>215</v>
      </c>
      <c r="C75" s="1" t="s">
        <v>291</v>
      </c>
      <c r="D75" s="1" t="s">
        <v>141</v>
      </c>
      <c r="E75" s="1" t="s">
        <v>391</v>
      </c>
    </row>
    <row r="76" spans="1:5" x14ac:dyDescent="0.25">
      <c r="A76" s="1" t="s">
        <v>140</v>
      </c>
      <c r="B76" s="1" t="s">
        <v>222</v>
      </c>
      <c r="C76" s="1" t="s">
        <v>292</v>
      </c>
      <c r="D76" s="1" t="s">
        <v>150</v>
      </c>
      <c r="E76" s="1" t="s">
        <v>392</v>
      </c>
    </row>
    <row r="77" spans="1:5" x14ac:dyDescent="0.25">
      <c r="A77" s="1" t="s">
        <v>153</v>
      </c>
      <c r="B77" s="1" t="s">
        <v>220</v>
      </c>
      <c r="C77" s="1" t="s">
        <v>293</v>
      </c>
      <c r="D77" s="1" t="s">
        <v>163</v>
      </c>
      <c r="E77" s="1" t="s">
        <v>393</v>
      </c>
    </row>
    <row r="78" spans="1:5" x14ac:dyDescent="0.25">
      <c r="A78" s="1" t="s">
        <v>144</v>
      </c>
      <c r="B78" s="1" t="s">
        <v>219</v>
      </c>
      <c r="C78" s="1" t="s">
        <v>294</v>
      </c>
      <c r="D78" s="1" t="s">
        <v>147</v>
      </c>
      <c r="E78" s="1" t="s">
        <v>394</v>
      </c>
    </row>
    <row r="79" spans="1:5" x14ac:dyDescent="0.25">
      <c r="A79" s="1" t="s">
        <v>153</v>
      </c>
      <c r="B79" s="1" t="s">
        <v>219</v>
      </c>
      <c r="C79" s="1" t="s">
        <v>295</v>
      </c>
      <c r="D79" s="1" t="s">
        <v>163</v>
      </c>
      <c r="E79" s="1" t="s">
        <v>395</v>
      </c>
    </row>
    <row r="80" spans="1:5" x14ac:dyDescent="0.25">
      <c r="A80" s="1" t="s">
        <v>140</v>
      </c>
      <c r="B80" s="1" t="s">
        <v>218</v>
      </c>
      <c r="C80" s="1" t="s">
        <v>296</v>
      </c>
      <c r="D80" s="1" t="s">
        <v>145</v>
      </c>
      <c r="E80" s="1" t="s">
        <v>396</v>
      </c>
    </row>
    <row r="81" spans="1:5" x14ac:dyDescent="0.25">
      <c r="A81" s="1" t="s">
        <v>144</v>
      </c>
      <c r="B81" s="1" t="s">
        <v>217</v>
      </c>
      <c r="C81" s="1" t="s">
        <v>297</v>
      </c>
      <c r="D81" s="1" t="s">
        <v>150</v>
      </c>
      <c r="E81" s="1" t="s">
        <v>397</v>
      </c>
    </row>
    <row r="82" spans="1:5" x14ac:dyDescent="0.25">
      <c r="A82" s="1" t="s">
        <v>153</v>
      </c>
      <c r="B82" s="1" t="s">
        <v>219</v>
      </c>
      <c r="C82" s="1" t="s">
        <v>298</v>
      </c>
      <c r="D82" s="1" t="s">
        <v>147</v>
      </c>
      <c r="E82" s="1" t="s">
        <v>398</v>
      </c>
    </row>
    <row r="83" spans="1:5" x14ac:dyDescent="0.25">
      <c r="A83" s="1" t="s">
        <v>144</v>
      </c>
      <c r="B83" s="1" t="s">
        <v>217</v>
      </c>
      <c r="C83" s="1" t="s">
        <v>299</v>
      </c>
      <c r="D83" s="1" t="s">
        <v>145</v>
      </c>
      <c r="E83" s="1" t="s">
        <v>399</v>
      </c>
    </row>
    <row r="84" spans="1:5" x14ac:dyDescent="0.25">
      <c r="A84" s="1" t="s">
        <v>155</v>
      </c>
      <c r="B84" s="1" t="s">
        <v>223</v>
      </c>
      <c r="C84" s="1" t="s">
        <v>300</v>
      </c>
      <c r="D84" s="1" t="s">
        <v>150</v>
      </c>
      <c r="E84" s="1" t="s">
        <v>400</v>
      </c>
    </row>
    <row r="85" spans="1:5" x14ac:dyDescent="0.25">
      <c r="A85" s="1" t="s">
        <v>155</v>
      </c>
      <c r="B85" s="1" t="s">
        <v>220</v>
      </c>
      <c r="C85" s="1" t="s">
        <v>301</v>
      </c>
      <c r="D85" s="1" t="s">
        <v>150</v>
      </c>
      <c r="E85" s="1" t="s">
        <v>401</v>
      </c>
    </row>
    <row r="86" spans="1:5" x14ac:dyDescent="0.25">
      <c r="A86" s="1" t="s">
        <v>144</v>
      </c>
      <c r="B86" s="1" t="s">
        <v>218</v>
      </c>
      <c r="C86" s="1" t="s">
        <v>302</v>
      </c>
      <c r="D86" s="1" t="s">
        <v>145</v>
      </c>
      <c r="E86" s="1" t="s">
        <v>402</v>
      </c>
    </row>
    <row r="87" spans="1:5" x14ac:dyDescent="0.25">
      <c r="A87" s="1" t="s">
        <v>153</v>
      </c>
      <c r="B87" s="1" t="s">
        <v>219</v>
      </c>
      <c r="C87" s="1" t="s">
        <v>303</v>
      </c>
      <c r="D87" s="1" t="s">
        <v>163</v>
      </c>
      <c r="E87" s="1" t="s">
        <v>403</v>
      </c>
    </row>
    <row r="88" spans="1:5" x14ac:dyDescent="0.25">
      <c r="A88" s="1" t="s">
        <v>149</v>
      </c>
      <c r="B88" s="1" t="s">
        <v>219</v>
      </c>
      <c r="C88" s="1" t="s">
        <v>304</v>
      </c>
      <c r="D88" s="1" t="s">
        <v>150</v>
      </c>
      <c r="E88" s="1" t="s">
        <v>404</v>
      </c>
    </row>
    <row r="89" spans="1:5" x14ac:dyDescent="0.25">
      <c r="A89" s="1" t="s">
        <v>153</v>
      </c>
      <c r="B89" s="1" t="s">
        <v>217</v>
      </c>
      <c r="C89" s="1" t="s">
        <v>305</v>
      </c>
      <c r="D89" s="1" t="s">
        <v>163</v>
      </c>
      <c r="E89" s="1" t="s">
        <v>405</v>
      </c>
    </row>
    <row r="90" spans="1:5" x14ac:dyDescent="0.25">
      <c r="A90" s="1" t="s">
        <v>155</v>
      </c>
      <c r="B90" s="1" t="s">
        <v>222</v>
      </c>
      <c r="C90" s="1" t="s">
        <v>306</v>
      </c>
      <c r="D90" s="1" t="s">
        <v>163</v>
      </c>
      <c r="E90" s="1" t="s">
        <v>406</v>
      </c>
    </row>
    <row r="91" spans="1:5" x14ac:dyDescent="0.25">
      <c r="A91" s="1" t="s">
        <v>153</v>
      </c>
      <c r="B91" s="1" t="s">
        <v>222</v>
      </c>
      <c r="C91" s="1" t="s">
        <v>307</v>
      </c>
      <c r="D91" s="1" t="s">
        <v>147</v>
      </c>
      <c r="E91" s="1" t="s">
        <v>407</v>
      </c>
    </row>
    <row r="92" spans="1:5" x14ac:dyDescent="0.25">
      <c r="A92" s="1" t="s">
        <v>155</v>
      </c>
      <c r="B92" s="1" t="s">
        <v>221</v>
      </c>
      <c r="C92" s="1" t="s">
        <v>308</v>
      </c>
      <c r="D92" s="1" t="s">
        <v>147</v>
      </c>
      <c r="E92" s="1" t="s">
        <v>408</v>
      </c>
    </row>
    <row r="93" spans="1:5" x14ac:dyDescent="0.25">
      <c r="A93" s="1" t="s">
        <v>155</v>
      </c>
      <c r="B93" s="1" t="s">
        <v>223</v>
      </c>
      <c r="C93" s="1" t="s">
        <v>309</v>
      </c>
      <c r="D93" s="1" t="s">
        <v>150</v>
      </c>
      <c r="E93" s="1" t="s">
        <v>409</v>
      </c>
    </row>
    <row r="94" spans="1:5" x14ac:dyDescent="0.25">
      <c r="A94" s="1" t="s">
        <v>153</v>
      </c>
      <c r="B94" s="1" t="s">
        <v>223</v>
      </c>
      <c r="C94" s="1" t="s">
        <v>310</v>
      </c>
      <c r="D94" s="1" t="s">
        <v>150</v>
      </c>
      <c r="E94" s="1" t="s">
        <v>410</v>
      </c>
    </row>
    <row r="95" spans="1:5" x14ac:dyDescent="0.25">
      <c r="A95" s="1" t="s">
        <v>149</v>
      </c>
      <c r="B95" s="1" t="s">
        <v>221</v>
      </c>
      <c r="C95" s="1" t="s">
        <v>311</v>
      </c>
      <c r="D95" s="1" t="s">
        <v>147</v>
      </c>
      <c r="E95" s="1" t="s">
        <v>411</v>
      </c>
    </row>
    <row r="96" spans="1:5" x14ac:dyDescent="0.25">
      <c r="A96" s="1" t="s">
        <v>153</v>
      </c>
      <c r="B96" s="1" t="s">
        <v>221</v>
      </c>
      <c r="C96" s="1" t="s">
        <v>312</v>
      </c>
      <c r="D96" s="1" t="s">
        <v>141</v>
      </c>
      <c r="E96" s="1" t="s">
        <v>412</v>
      </c>
    </row>
    <row r="97" spans="1:5" x14ac:dyDescent="0.25">
      <c r="A97" s="1" t="s">
        <v>140</v>
      </c>
      <c r="B97" s="1" t="s">
        <v>218</v>
      </c>
      <c r="C97" s="1" t="s">
        <v>313</v>
      </c>
      <c r="D97" s="1" t="s">
        <v>145</v>
      </c>
      <c r="E97" s="1" t="s">
        <v>413</v>
      </c>
    </row>
    <row r="98" spans="1:5" x14ac:dyDescent="0.25">
      <c r="A98" s="1" t="s">
        <v>155</v>
      </c>
      <c r="B98" s="1" t="s">
        <v>220</v>
      </c>
      <c r="C98" s="1" t="s">
        <v>314</v>
      </c>
      <c r="D98" s="1" t="s">
        <v>163</v>
      </c>
      <c r="E98" s="1" t="s">
        <v>414</v>
      </c>
    </row>
    <row r="99" spans="1:5" x14ac:dyDescent="0.25">
      <c r="A99" s="1" t="s">
        <v>153</v>
      </c>
      <c r="B99" s="1" t="s">
        <v>220</v>
      </c>
      <c r="C99" s="1" t="s">
        <v>315</v>
      </c>
      <c r="D99" s="1" t="s">
        <v>145</v>
      </c>
      <c r="E99" s="1" t="s">
        <v>415</v>
      </c>
    </row>
    <row r="100" spans="1:5" x14ac:dyDescent="0.25">
      <c r="A100" s="1" t="s">
        <v>140</v>
      </c>
      <c r="B100" s="1" t="s">
        <v>224</v>
      </c>
      <c r="C100" s="1" t="s">
        <v>316</v>
      </c>
      <c r="D100" s="1" t="s">
        <v>163</v>
      </c>
      <c r="E100" s="1" t="s">
        <v>416</v>
      </c>
    </row>
    <row r="101" spans="1:5" x14ac:dyDescent="0.25">
      <c r="A101" s="1" t="s">
        <v>144</v>
      </c>
      <c r="B101" s="1" t="s">
        <v>220</v>
      </c>
      <c r="C101" s="1" t="s">
        <v>317</v>
      </c>
      <c r="D101" s="1" t="s">
        <v>147</v>
      </c>
      <c r="E101" s="1" t="s">
        <v>417</v>
      </c>
    </row>
    <row r="102" spans="1:5" x14ac:dyDescent="0.25">
      <c r="A102" s="1" t="s">
        <v>140</v>
      </c>
      <c r="B102" s="1" t="s">
        <v>221</v>
      </c>
      <c r="C102" s="1" t="s">
        <v>318</v>
      </c>
      <c r="D102" s="1" t="s">
        <v>150</v>
      </c>
      <c r="E102" s="1" t="s">
        <v>418</v>
      </c>
    </row>
    <row r="103" spans="1:5" x14ac:dyDescent="0.25">
      <c r="A103" s="1" t="s">
        <v>149</v>
      </c>
      <c r="B103" s="1" t="s">
        <v>223</v>
      </c>
      <c r="C103" s="1" t="s">
        <v>319</v>
      </c>
      <c r="D103" s="1" t="s">
        <v>163</v>
      </c>
      <c r="E103" s="1" t="s">
        <v>419</v>
      </c>
    </row>
    <row r="104" spans="1:5" x14ac:dyDescent="0.25">
      <c r="A104" s="1" t="s">
        <v>144</v>
      </c>
      <c r="B104" s="1" t="s">
        <v>219</v>
      </c>
      <c r="C104" s="1" t="s">
        <v>320</v>
      </c>
      <c r="D104" s="1" t="s">
        <v>141</v>
      </c>
      <c r="E104" s="1" t="s">
        <v>420</v>
      </c>
    </row>
    <row r="105" spans="1:5" x14ac:dyDescent="0.25">
      <c r="A105" s="1" t="s">
        <v>140</v>
      </c>
      <c r="B105" s="1" t="s">
        <v>218</v>
      </c>
      <c r="C105" s="1" t="s">
        <v>321</v>
      </c>
      <c r="D105" s="1" t="s">
        <v>163</v>
      </c>
      <c r="E105" s="1" t="s">
        <v>421</v>
      </c>
    </row>
    <row r="106" spans="1:5" x14ac:dyDescent="0.25">
      <c r="A106" s="1" t="s">
        <v>149</v>
      </c>
      <c r="B106" s="1" t="s">
        <v>216</v>
      </c>
      <c r="C106" s="1" t="s">
        <v>322</v>
      </c>
      <c r="D106" s="1" t="s">
        <v>163</v>
      </c>
      <c r="E106" s="1" t="s">
        <v>422</v>
      </c>
    </row>
    <row r="107" spans="1:5" x14ac:dyDescent="0.25">
      <c r="A107" s="1" t="s">
        <v>140</v>
      </c>
      <c r="B107" s="1" t="s">
        <v>223</v>
      </c>
      <c r="C107" s="1" t="s">
        <v>323</v>
      </c>
      <c r="D107" s="1" t="s">
        <v>163</v>
      </c>
      <c r="E107" s="1" t="s">
        <v>423</v>
      </c>
    </row>
    <row r="108" spans="1:5" x14ac:dyDescent="0.25">
      <c r="A108" s="1" t="s">
        <v>149</v>
      </c>
      <c r="B108" s="1" t="s">
        <v>222</v>
      </c>
      <c r="C108" s="1" t="s">
        <v>324</v>
      </c>
      <c r="D108" s="1" t="s">
        <v>150</v>
      </c>
      <c r="E108" s="1" t="s">
        <v>424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ED9A-0531-42E6-A39D-B7532097E2FD}">
  <sheetPr codeName="Planilha2"/>
  <dimension ref="A1:I409"/>
  <sheetViews>
    <sheetView tabSelected="1" topLeftCell="A9" zoomScale="129" zoomScaleNormal="235" workbookViewId="0">
      <selection activeCell="G34" sqref="G34"/>
    </sheetView>
  </sheetViews>
  <sheetFormatPr defaultRowHeight="15" x14ac:dyDescent="0.25"/>
  <cols>
    <col min="1" max="1" width="15.7109375" customWidth="1"/>
    <col min="2" max="2" width="20.140625" customWidth="1"/>
    <col min="3" max="3" width="17.42578125" customWidth="1"/>
    <col min="4" max="4" width="20" customWidth="1"/>
    <col min="5" max="5" width="18.5703125" customWidth="1"/>
    <col min="6" max="6" width="20.7109375" customWidth="1"/>
    <col min="7" max="7" width="23.140625" customWidth="1"/>
    <col min="8" max="8" width="20" customWidth="1"/>
    <col min="9" max="9" width="19.28515625" customWidth="1"/>
  </cols>
  <sheetData>
    <row r="1" spans="1:9" x14ac:dyDescent="0.25">
      <c r="A1" s="9" t="s">
        <v>111</v>
      </c>
      <c r="B1" s="1"/>
    </row>
    <row r="2" spans="1:9" x14ac:dyDescent="0.25">
      <c r="A2" s="9" t="s">
        <v>112</v>
      </c>
      <c r="B2" s="1"/>
    </row>
    <row r="3" spans="1:9" x14ac:dyDescent="0.25">
      <c r="A3" s="9" t="s">
        <v>113</v>
      </c>
      <c r="B3" s="1"/>
    </row>
    <row r="4" spans="1:9" x14ac:dyDescent="0.25">
      <c r="A4" s="9" t="s">
        <v>114</v>
      </c>
      <c r="B4" s="15"/>
    </row>
    <row r="5" spans="1:9" x14ac:dyDescent="0.25">
      <c r="A5" s="9" t="s">
        <v>115</v>
      </c>
      <c r="B5" s="15"/>
    </row>
    <row r="6" spans="1:9" x14ac:dyDescent="0.25">
      <c r="A6" s="9" t="s">
        <v>116</v>
      </c>
      <c r="B6" s="15"/>
    </row>
    <row r="7" spans="1:9" x14ac:dyDescent="0.25">
      <c r="A7" s="9" t="s">
        <v>117</v>
      </c>
      <c r="B7" s="13"/>
    </row>
    <row r="8" spans="1:9" x14ac:dyDescent="0.25">
      <c r="A8" s="9" t="s">
        <v>118</v>
      </c>
      <c r="B8" s="13"/>
    </row>
    <row r="9" spans="1:9" x14ac:dyDescent="0.25">
      <c r="A9" s="9" t="s">
        <v>119</v>
      </c>
      <c r="B9" s="15"/>
    </row>
    <row r="11" spans="1:9" x14ac:dyDescent="0.25">
      <c r="A11" s="9" t="s">
        <v>111</v>
      </c>
      <c r="B11" s="9" t="s">
        <v>112</v>
      </c>
      <c r="C11" s="9" t="s">
        <v>113</v>
      </c>
      <c r="D11" s="9" t="s">
        <v>114</v>
      </c>
      <c r="E11" s="9" t="s">
        <v>115</v>
      </c>
      <c r="F11" s="9" t="s">
        <v>116</v>
      </c>
      <c r="G11" s="9" t="s">
        <v>117</v>
      </c>
      <c r="H11" s="9" t="s">
        <v>118</v>
      </c>
      <c r="I11" s="9" t="s">
        <v>119</v>
      </c>
    </row>
    <row r="12" spans="1:9" s="23" customFormat="1" x14ac:dyDescent="0.25">
      <c r="A12" s="1">
        <v>1</v>
      </c>
      <c r="B12" s="1" t="s">
        <v>139</v>
      </c>
      <c r="C12" s="1" t="s">
        <v>126</v>
      </c>
      <c r="D12" s="17">
        <f>E12-F12</f>
        <v>-3</v>
      </c>
      <c r="E12" s="17">
        <f>SUMIF(Entrada!C:C,Produtos!A12,Entrada!E:E)</f>
        <v>0</v>
      </c>
      <c r="F12" s="17">
        <f>SUMIF(Saída!C:C,Produtos!A12,Saída!F:F)</f>
        <v>3</v>
      </c>
      <c r="G12" s="13"/>
      <c r="H12" s="13"/>
      <c r="I12" s="11" t="str">
        <f>IF(G12&gt;=D12,"REPOR","")</f>
        <v>REPOR</v>
      </c>
    </row>
    <row r="13" spans="1:9" s="23" customFormat="1" x14ac:dyDescent="0.25">
      <c r="A13" s="1">
        <v>2</v>
      </c>
      <c r="B13" s="1" t="s">
        <v>142</v>
      </c>
      <c r="C13" s="1" t="s">
        <v>138</v>
      </c>
      <c r="D13" s="17">
        <f>E13-F13</f>
        <v>-1</v>
      </c>
      <c r="E13" s="17">
        <f>SUMIF(Entrada!C:C,Produtos!A13,Entrada!E:E)</f>
        <v>0</v>
      </c>
      <c r="F13" s="17">
        <f>SUMIF(Saída!C:C,Produtos!A13,Saída!F:F)</f>
        <v>1</v>
      </c>
      <c r="G13" s="13"/>
      <c r="H13" s="13"/>
      <c r="I13" s="11" t="str">
        <f>IF(G13&gt;=D13,"REPOR","")</f>
        <v>REPOR</v>
      </c>
    </row>
    <row r="14" spans="1:9" s="23" customFormat="1" x14ac:dyDescent="0.25">
      <c r="A14" s="1">
        <v>3</v>
      </c>
      <c r="B14" s="1" t="s">
        <v>146</v>
      </c>
      <c r="C14" s="1" t="s">
        <v>143</v>
      </c>
      <c r="D14" s="17">
        <f>E14-F14</f>
        <v>-5</v>
      </c>
      <c r="E14" s="17">
        <f>SUMIF(Entrada!C:C,Produtos!A14,Entrada!E:E)</f>
        <v>0</v>
      </c>
      <c r="F14" s="17">
        <f>SUMIF(Saída!C:C,Produtos!A14,Saída!F:F)</f>
        <v>5</v>
      </c>
      <c r="G14" s="13"/>
      <c r="H14" s="13"/>
      <c r="I14" s="11" t="str">
        <f>IF(G14&gt;=D14,"REPOR","")</f>
        <v>REPOR</v>
      </c>
    </row>
    <row r="15" spans="1:9" s="23" customFormat="1" x14ac:dyDescent="0.25">
      <c r="A15" s="1">
        <v>4</v>
      </c>
      <c r="B15" s="1" t="s">
        <v>148</v>
      </c>
      <c r="C15" s="1" t="s">
        <v>137</v>
      </c>
      <c r="D15" s="17">
        <f>E15-F15</f>
        <v>-2</v>
      </c>
      <c r="E15" s="17">
        <f>SUMIF(Entrada!C:C,Produtos!A15,Entrada!E:E)</f>
        <v>0</v>
      </c>
      <c r="F15" s="17">
        <f>SUMIF(Saída!C:C,Produtos!A15,Saída!F:F)</f>
        <v>2</v>
      </c>
      <c r="G15" s="13"/>
      <c r="H15" s="13"/>
      <c r="I15" s="11" t="str">
        <f>IF(G15&gt;=D15,"REPOR","")</f>
        <v>REPOR</v>
      </c>
    </row>
    <row r="16" spans="1:9" s="23" customFormat="1" x14ac:dyDescent="0.25">
      <c r="A16" s="1">
        <v>5</v>
      </c>
      <c r="B16" s="1" t="s">
        <v>151</v>
      </c>
      <c r="C16" s="1" t="s">
        <v>126</v>
      </c>
      <c r="D16" s="17">
        <f>E16-F16</f>
        <v>-8</v>
      </c>
      <c r="E16" s="17">
        <f>SUMIF(Entrada!C:C,Produtos!A16,Entrada!E:E)</f>
        <v>0</v>
      </c>
      <c r="F16" s="17">
        <f>SUMIF(Saída!C:C,Produtos!A16,Saída!F:F)</f>
        <v>8</v>
      </c>
      <c r="G16" s="13"/>
      <c r="H16" s="13"/>
      <c r="I16" s="11" t="str">
        <f>IF(G16&gt;=D16,"REPOR","")</f>
        <v>REPOR</v>
      </c>
    </row>
    <row r="17" spans="1:9" s="23" customFormat="1" x14ac:dyDescent="0.25">
      <c r="A17" s="1">
        <v>6</v>
      </c>
      <c r="B17" s="1" t="s">
        <v>146</v>
      </c>
      <c r="C17" s="1" t="s">
        <v>137</v>
      </c>
      <c r="D17" s="17">
        <f>E17-F17</f>
        <v>-3</v>
      </c>
      <c r="E17" s="17">
        <f>SUMIF(Entrada!C:C,Produtos!A17,Entrada!E:E)</f>
        <v>0</v>
      </c>
      <c r="F17" s="17">
        <f>SUMIF(Saída!C:C,Produtos!A17,Saída!F:F)</f>
        <v>3</v>
      </c>
      <c r="G17" s="13"/>
      <c r="H17" s="13"/>
      <c r="I17" s="11" t="str">
        <f>IF(G17&gt;=D17,"REPOR","")</f>
        <v>REPOR</v>
      </c>
    </row>
    <row r="18" spans="1:9" s="23" customFormat="1" x14ac:dyDescent="0.25">
      <c r="A18" s="1">
        <v>7</v>
      </c>
      <c r="B18" s="1" t="s">
        <v>154</v>
      </c>
      <c r="C18" s="1" t="s">
        <v>137</v>
      </c>
      <c r="D18" s="17">
        <f>E18-F18</f>
        <v>-2</v>
      </c>
      <c r="E18" s="17">
        <f>SUMIF(Entrada!C:C,Produtos!A18,Entrada!E:E)</f>
        <v>0</v>
      </c>
      <c r="F18" s="17">
        <f>SUMIF(Saída!C:C,Produtos!A18,Saída!F:F)</f>
        <v>2</v>
      </c>
      <c r="G18" s="13"/>
      <c r="H18" s="13"/>
      <c r="I18" s="11" t="str">
        <f>IF(G18&gt;=D18,"REPOR","")</f>
        <v>REPOR</v>
      </c>
    </row>
    <row r="19" spans="1:9" s="23" customFormat="1" x14ac:dyDescent="0.25">
      <c r="A19" s="1">
        <v>8</v>
      </c>
      <c r="B19" s="1" t="s">
        <v>156</v>
      </c>
      <c r="C19" s="1" t="s">
        <v>126</v>
      </c>
      <c r="D19" s="17">
        <f>E19-F19</f>
        <v>-10</v>
      </c>
      <c r="E19" s="17">
        <f>SUMIF(Entrada!C:C,Produtos!A19,Entrada!E:E)</f>
        <v>0</v>
      </c>
      <c r="F19" s="17">
        <f>SUMIF(Saída!C:C,Produtos!A19,Saída!F:F)</f>
        <v>10</v>
      </c>
      <c r="G19" s="13"/>
      <c r="H19" s="13"/>
      <c r="I19" s="11" t="str">
        <f>IF(G19&gt;=D19,"REPOR","")</f>
        <v>REPOR</v>
      </c>
    </row>
    <row r="20" spans="1:9" s="23" customFormat="1" x14ac:dyDescent="0.25">
      <c r="A20" s="1">
        <v>9</v>
      </c>
      <c r="B20" s="1" t="s">
        <v>157</v>
      </c>
      <c r="C20" s="1" t="s">
        <v>138</v>
      </c>
      <c r="D20" s="17">
        <f>E20-F20</f>
        <v>-8</v>
      </c>
      <c r="E20" s="17">
        <f>SUMIF(Entrada!C:C,Produtos!A20,Entrada!E:E)</f>
        <v>0</v>
      </c>
      <c r="F20" s="17">
        <f>SUMIF(Saída!C:C,Produtos!A20,Saída!F:F)</f>
        <v>8</v>
      </c>
      <c r="G20" s="13"/>
      <c r="H20" s="13"/>
      <c r="I20" s="11" t="str">
        <f>IF(G20&gt;=D20,"REPOR","")</f>
        <v>REPOR</v>
      </c>
    </row>
    <row r="21" spans="1:9" s="23" customFormat="1" x14ac:dyDescent="0.25">
      <c r="A21" s="1">
        <v>10</v>
      </c>
      <c r="B21" s="1" t="s">
        <v>158</v>
      </c>
      <c r="C21" s="1" t="s">
        <v>136</v>
      </c>
      <c r="D21" s="17">
        <f>E21-F21</f>
        <v>-4</v>
      </c>
      <c r="E21" s="17">
        <f>SUMIF(Entrada!C:C,Produtos!A21,Entrada!E:E)</f>
        <v>0</v>
      </c>
      <c r="F21" s="17">
        <f>SUMIF(Saída!C:C,Produtos!A21,Saída!F:F)</f>
        <v>4</v>
      </c>
      <c r="G21" s="13"/>
      <c r="H21" s="13"/>
      <c r="I21" s="11" t="str">
        <f>IF(G21&gt;=D21,"REPOR","")</f>
        <v>REPOR</v>
      </c>
    </row>
    <row r="22" spans="1:9" s="23" customFormat="1" x14ac:dyDescent="0.25">
      <c r="A22" s="1">
        <v>11</v>
      </c>
      <c r="B22" s="1" t="s">
        <v>156</v>
      </c>
      <c r="C22" s="1" t="s">
        <v>138</v>
      </c>
      <c r="D22" s="17">
        <f>E22-F22</f>
        <v>-7</v>
      </c>
      <c r="E22" s="17">
        <f>SUMIF(Entrada!C:C,Produtos!A22,Entrada!E:E)</f>
        <v>0</v>
      </c>
      <c r="F22" s="17">
        <f>SUMIF(Saída!C:C,Produtos!A22,Saída!F:F)</f>
        <v>7</v>
      </c>
      <c r="G22" s="13"/>
      <c r="H22" s="13"/>
      <c r="I22" s="11" t="str">
        <f>IF(G22&gt;=D22,"REPOR","")</f>
        <v>REPOR</v>
      </c>
    </row>
    <row r="23" spans="1:9" s="23" customFormat="1" x14ac:dyDescent="0.25">
      <c r="A23" s="1">
        <v>12</v>
      </c>
      <c r="B23" s="1" t="s">
        <v>159</v>
      </c>
      <c r="C23" s="1" t="s">
        <v>137</v>
      </c>
      <c r="D23" s="17">
        <f>E23-F23</f>
        <v>-6</v>
      </c>
      <c r="E23" s="17">
        <f>SUMIF(Entrada!C:C,Produtos!A23,Entrada!E:E)</f>
        <v>0</v>
      </c>
      <c r="F23" s="17">
        <f>SUMIF(Saída!C:C,Produtos!A23,Saída!F:F)</f>
        <v>6</v>
      </c>
      <c r="G23" s="13"/>
      <c r="H23" s="13"/>
      <c r="I23" s="11" t="str">
        <f>IF(G23&gt;=D23,"REPOR","")</f>
        <v>REPOR</v>
      </c>
    </row>
    <row r="24" spans="1:9" s="23" customFormat="1" x14ac:dyDescent="0.25">
      <c r="A24" s="1">
        <v>13</v>
      </c>
      <c r="B24" s="1" t="s">
        <v>160</v>
      </c>
      <c r="C24" s="1" t="s">
        <v>152</v>
      </c>
      <c r="D24" s="17">
        <f>E24-F24</f>
        <v>-6</v>
      </c>
      <c r="E24" s="17">
        <f>SUMIF(Entrada!C:C,Produtos!A24,Entrada!E:E)</f>
        <v>0</v>
      </c>
      <c r="F24" s="17">
        <f>SUMIF(Saída!C:C,Produtos!A24,Saída!F:F)</f>
        <v>6</v>
      </c>
      <c r="G24" s="13"/>
      <c r="H24" s="13"/>
      <c r="I24" s="11" t="str">
        <f>IF(G24&gt;=D24,"REPOR","")</f>
        <v>REPOR</v>
      </c>
    </row>
    <row r="25" spans="1:9" s="23" customFormat="1" x14ac:dyDescent="0.25">
      <c r="A25" s="1">
        <v>14</v>
      </c>
      <c r="B25" s="1" t="s">
        <v>161</v>
      </c>
      <c r="C25" s="1" t="s">
        <v>143</v>
      </c>
      <c r="D25" s="17">
        <f>E25-F25</f>
        <v>-8</v>
      </c>
      <c r="E25" s="17">
        <f>SUMIF(Entrada!C:C,Produtos!A25,Entrada!E:E)</f>
        <v>0</v>
      </c>
      <c r="F25" s="17">
        <f>SUMIF(Saída!C:C,Produtos!A25,Saída!F:F)</f>
        <v>8</v>
      </c>
      <c r="G25" s="13"/>
      <c r="H25" s="13"/>
      <c r="I25" s="11" t="str">
        <f>IF(G25&gt;=D25,"REPOR","")</f>
        <v>REPOR</v>
      </c>
    </row>
    <row r="26" spans="1:9" s="23" customFormat="1" x14ac:dyDescent="0.25">
      <c r="A26" s="1">
        <v>15</v>
      </c>
      <c r="B26" s="1" t="s">
        <v>162</v>
      </c>
      <c r="C26" s="1" t="s">
        <v>138</v>
      </c>
      <c r="D26" s="17">
        <f>E26-F26</f>
        <v>-2</v>
      </c>
      <c r="E26" s="17">
        <f>SUMIF(Entrada!C:C,Produtos!A26,Entrada!E:E)</f>
        <v>0</v>
      </c>
      <c r="F26" s="17">
        <f>SUMIF(Saída!C:C,Produtos!A26,Saída!F:F)</f>
        <v>2</v>
      </c>
      <c r="G26" s="13"/>
      <c r="H26" s="13"/>
      <c r="I26" s="11" t="str">
        <f>IF(G26&gt;=D26,"REPOR","")</f>
        <v>REPOR</v>
      </c>
    </row>
    <row r="27" spans="1:9" s="23" customFormat="1" x14ac:dyDescent="0.25">
      <c r="A27" s="1">
        <v>16</v>
      </c>
      <c r="B27" s="1" t="s">
        <v>162</v>
      </c>
      <c r="C27" s="1" t="s">
        <v>152</v>
      </c>
      <c r="D27" s="17">
        <f>E27-F27</f>
        <v>-7</v>
      </c>
      <c r="E27" s="17">
        <f>SUMIF(Entrada!C:C,Produtos!A27,Entrada!E:E)</f>
        <v>0</v>
      </c>
      <c r="F27" s="17">
        <f>SUMIF(Saída!C:C,Produtos!A27,Saída!F:F)</f>
        <v>7</v>
      </c>
      <c r="G27" s="13"/>
      <c r="H27" s="13"/>
      <c r="I27" s="11" t="str">
        <f>IF(G27&gt;=D27,"REPOR","")</f>
        <v>REPOR</v>
      </c>
    </row>
    <row r="28" spans="1:9" s="23" customFormat="1" x14ac:dyDescent="0.25">
      <c r="A28" s="1">
        <v>17</v>
      </c>
      <c r="B28" s="1" t="s">
        <v>164</v>
      </c>
      <c r="C28" s="1" t="s">
        <v>138</v>
      </c>
      <c r="D28" s="17">
        <f>E28-F28</f>
        <v>-1</v>
      </c>
      <c r="E28" s="17">
        <f>SUMIF(Entrada!C:C,Produtos!A28,Entrada!E:E)</f>
        <v>0</v>
      </c>
      <c r="F28" s="17">
        <f>SUMIF(Saída!C:C,Produtos!A28,Saída!F:F)</f>
        <v>1</v>
      </c>
      <c r="G28" s="13"/>
      <c r="H28" s="13"/>
      <c r="I28" s="11" t="str">
        <f>IF(G28&gt;=D28,"REPOR","")</f>
        <v>REPOR</v>
      </c>
    </row>
    <row r="29" spans="1:9" s="23" customFormat="1" x14ac:dyDescent="0.25">
      <c r="A29" s="1">
        <v>18</v>
      </c>
      <c r="B29" s="1" t="s">
        <v>165</v>
      </c>
      <c r="C29" s="1" t="s">
        <v>137</v>
      </c>
      <c r="D29" s="17">
        <f>E29-F29</f>
        <v>-1</v>
      </c>
      <c r="E29" s="17">
        <f>SUMIF(Entrada!C:C,Produtos!A29,Entrada!E:E)</f>
        <v>0</v>
      </c>
      <c r="F29" s="17">
        <f>SUMIF(Saída!C:C,Produtos!A29,Saída!F:F)</f>
        <v>1</v>
      </c>
      <c r="G29" s="13"/>
      <c r="H29" s="13"/>
      <c r="I29" s="11" t="str">
        <f>IF(G29&gt;=D29,"REPOR","")</f>
        <v>REPOR</v>
      </c>
    </row>
    <row r="30" spans="1:9" s="23" customFormat="1" x14ac:dyDescent="0.25">
      <c r="A30" s="1">
        <v>19</v>
      </c>
      <c r="B30" s="1" t="s">
        <v>166</v>
      </c>
      <c r="C30" s="1" t="s">
        <v>136</v>
      </c>
      <c r="D30" s="17">
        <f>E30-F30</f>
        <v>-8</v>
      </c>
      <c r="E30" s="17">
        <f>SUMIF(Entrada!C:C,Produtos!A30,Entrada!E:E)</f>
        <v>0</v>
      </c>
      <c r="F30" s="17">
        <f>SUMIF(Saída!C:C,Produtos!A30,Saída!F:F)</f>
        <v>8</v>
      </c>
      <c r="G30" s="13"/>
      <c r="H30" s="13"/>
      <c r="I30" s="11" t="str">
        <f>IF(G30&gt;=D30,"REPOR","")</f>
        <v>REPOR</v>
      </c>
    </row>
    <row r="31" spans="1:9" x14ac:dyDescent="0.25">
      <c r="A31" s="6">
        <v>20</v>
      </c>
      <c r="B31" s="6" t="s">
        <v>167</v>
      </c>
      <c r="C31" s="6" t="s">
        <v>138</v>
      </c>
      <c r="D31" s="17">
        <f>E31-F31</f>
        <v>-7</v>
      </c>
      <c r="E31" s="17">
        <f>SUMIF(Entrada!C:C,Produtos!A31,Entrada!E:E)</f>
        <v>0</v>
      </c>
      <c r="F31" s="17">
        <f>SUMIF(Saída!C:C,Produtos!A31,Saída!F:F)</f>
        <v>7</v>
      </c>
      <c r="G31" s="6"/>
      <c r="H31" s="6">
        <v>0</v>
      </c>
      <c r="I31" s="11" t="str">
        <f>IF(G31&gt;=D31,"REPOR","")</f>
        <v>REPOR</v>
      </c>
    </row>
    <row r="32" spans="1:9" x14ac:dyDescent="0.25">
      <c r="A32" s="6"/>
      <c r="B32" s="6"/>
      <c r="C32" s="6"/>
      <c r="D32" s="6"/>
      <c r="E32" s="6"/>
    </row>
    <row r="33" spans="1:5" x14ac:dyDescent="0.25">
      <c r="A33" s="6"/>
      <c r="B33" s="6"/>
      <c r="C33" s="6"/>
      <c r="D33" s="6"/>
      <c r="E33" s="6"/>
    </row>
    <row r="34" spans="1:5" x14ac:dyDescent="0.25">
      <c r="A34" s="6"/>
      <c r="B34" s="6"/>
      <c r="C34" s="6"/>
      <c r="D34" s="6"/>
      <c r="E34" s="6"/>
    </row>
    <row r="35" spans="1:5" x14ac:dyDescent="0.25">
      <c r="A35" s="6"/>
      <c r="B35" s="6"/>
      <c r="C35" s="6"/>
      <c r="D35" s="6"/>
      <c r="E35" s="6"/>
    </row>
    <row r="36" spans="1:5" x14ac:dyDescent="0.25">
      <c r="A36" s="6"/>
      <c r="B36" s="6"/>
      <c r="C36" s="6"/>
      <c r="D36" s="6"/>
      <c r="E36" s="6"/>
    </row>
    <row r="37" spans="1:5" x14ac:dyDescent="0.25">
      <c r="A37" s="6"/>
      <c r="B37" s="6"/>
      <c r="C37" s="6"/>
      <c r="D37" s="6"/>
      <c r="E37" s="6"/>
    </row>
    <row r="38" spans="1:5" x14ac:dyDescent="0.25">
      <c r="A38" s="6"/>
      <c r="B38" s="6"/>
      <c r="C38" s="6"/>
      <c r="D38" s="6"/>
      <c r="E38" s="6"/>
    </row>
    <row r="39" spans="1:5" x14ac:dyDescent="0.25">
      <c r="A39" s="6"/>
      <c r="B39" s="6"/>
      <c r="C39" s="6"/>
      <c r="D39" s="6"/>
      <c r="E39" s="6"/>
    </row>
    <row r="40" spans="1:5" x14ac:dyDescent="0.25">
      <c r="A40" s="6"/>
      <c r="B40" s="6"/>
      <c r="C40" s="6"/>
      <c r="D40" s="6"/>
      <c r="E40" s="6"/>
    </row>
    <row r="41" spans="1:5" x14ac:dyDescent="0.25">
      <c r="A41" s="6"/>
      <c r="B41" s="6"/>
      <c r="C41" s="6"/>
      <c r="D41" s="6"/>
      <c r="E41" s="6"/>
    </row>
    <row r="42" spans="1:5" x14ac:dyDescent="0.25">
      <c r="A42" s="6"/>
      <c r="B42" s="6"/>
      <c r="C42" s="6"/>
      <c r="D42" s="6"/>
      <c r="E42" s="6"/>
    </row>
    <row r="43" spans="1:5" x14ac:dyDescent="0.25">
      <c r="A43" s="6"/>
      <c r="B43" s="6"/>
      <c r="C43" s="6"/>
      <c r="D43" s="6"/>
      <c r="E43" s="6"/>
    </row>
    <row r="44" spans="1:5" x14ac:dyDescent="0.25">
      <c r="A44" s="6"/>
      <c r="B44" s="6"/>
      <c r="C44" s="6"/>
      <c r="D44" s="6"/>
      <c r="E44" s="6"/>
    </row>
    <row r="45" spans="1:5" x14ac:dyDescent="0.25">
      <c r="A45" s="6"/>
      <c r="B45" s="6"/>
      <c r="C45" s="6"/>
      <c r="D45" s="6"/>
      <c r="E45" s="6"/>
    </row>
    <row r="46" spans="1:5" x14ac:dyDescent="0.25">
      <c r="A46" s="6"/>
      <c r="B46" s="6"/>
      <c r="C46" s="6"/>
      <c r="D46" s="6"/>
      <c r="E46" s="6"/>
    </row>
    <row r="47" spans="1:5" x14ac:dyDescent="0.25">
      <c r="A47" s="6"/>
      <c r="B47" s="6"/>
      <c r="C47" s="6"/>
      <c r="D47" s="6"/>
      <c r="E47" s="6"/>
    </row>
    <row r="48" spans="1:5" x14ac:dyDescent="0.25">
      <c r="A48" s="6"/>
      <c r="B48" s="6"/>
      <c r="C48" s="6"/>
      <c r="D48" s="6"/>
      <c r="E48" s="6"/>
    </row>
    <row r="49" spans="1:8" x14ac:dyDescent="0.25">
      <c r="A49" s="6"/>
      <c r="B49" s="6"/>
      <c r="C49" s="6"/>
      <c r="D49" s="6"/>
      <c r="E49" s="6"/>
    </row>
    <row r="50" spans="1:8" x14ac:dyDescent="0.25">
      <c r="A50" s="6"/>
      <c r="B50" s="6"/>
      <c r="C50" s="6"/>
      <c r="D50" s="6"/>
      <c r="E50" s="6"/>
    </row>
    <row r="54" spans="1:8" x14ac:dyDescent="0.25">
      <c r="A54" s="16"/>
      <c r="B54" s="16"/>
      <c r="C54" s="16"/>
      <c r="D54" s="16"/>
      <c r="E54" s="16"/>
      <c r="F54" s="16"/>
      <c r="G54" s="16"/>
      <c r="H54" s="1"/>
    </row>
    <row r="55" spans="1:8" x14ac:dyDescent="0.25">
      <c r="A55" s="16"/>
      <c r="B55" s="16"/>
      <c r="C55" s="16"/>
      <c r="D55" s="16"/>
      <c r="E55" s="16"/>
      <c r="F55" s="16"/>
      <c r="G55" s="16"/>
      <c r="H55" s="1"/>
    </row>
    <row r="56" spans="1:8" x14ac:dyDescent="0.25">
      <c r="A56" s="16"/>
      <c r="B56" s="16"/>
      <c r="C56" s="16"/>
      <c r="D56" s="16"/>
      <c r="E56" s="16"/>
      <c r="F56" s="16"/>
      <c r="G56" s="16"/>
      <c r="H56" s="1"/>
    </row>
    <row r="57" spans="1:8" x14ac:dyDescent="0.25">
      <c r="A57" s="16"/>
      <c r="B57" s="16"/>
      <c r="C57" s="16"/>
      <c r="D57" s="16"/>
      <c r="E57" s="16"/>
      <c r="F57" s="16"/>
      <c r="G57" s="16"/>
      <c r="H57" s="1"/>
    </row>
    <row r="58" spans="1:8" x14ac:dyDescent="0.25">
      <c r="A58" s="16"/>
      <c r="B58" s="16"/>
      <c r="C58" s="16"/>
      <c r="D58" s="16"/>
      <c r="E58" s="16"/>
      <c r="F58" s="16"/>
      <c r="G58" s="16"/>
      <c r="H58" s="1"/>
    </row>
    <row r="59" spans="1:8" x14ac:dyDescent="0.25">
      <c r="A59" s="16"/>
      <c r="B59" s="16"/>
      <c r="C59" s="16"/>
      <c r="D59" s="16"/>
      <c r="E59" s="16"/>
      <c r="F59" s="16"/>
      <c r="G59" s="16"/>
      <c r="H59" s="1"/>
    </row>
    <row r="60" spans="1:8" x14ac:dyDescent="0.25">
      <c r="A60" s="16"/>
      <c r="B60" s="16"/>
      <c r="C60" s="16"/>
      <c r="D60" s="16"/>
      <c r="E60" s="16"/>
      <c r="F60" s="16"/>
      <c r="G60" s="16"/>
      <c r="H60" s="1"/>
    </row>
    <row r="61" spans="1:8" x14ac:dyDescent="0.25">
      <c r="A61" s="16"/>
      <c r="B61" s="16"/>
      <c r="C61" s="16"/>
      <c r="D61" s="16"/>
      <c r="E61" s="16"/>
      <c r="F61" s="16"/>
      <c r="G61" s="16"/>
      <c r="H61" s="1"/>
    </row>
    <row r="62" spans="1:8" x14ac:dyDescent="0.25">
      <c r="A62" s="16"/>
      <c r="B62" s="16"/>
      <c r="C62" s="16"/>
      <c r="D62" s="16"/>
      <c r="E62" s="16"/>
      <c r="F62" s="16"/>
      <c r="G62" s="16"/>
      <c r="H62" s="1"/>
    </row>
    <row r="63" spans="1:8" x14ac:dyDescent="0.25">
      <c r="A63" s="16"/>
      <c r="B63" s="16"/>
      <c r="C63" s="16"/>
      <c r="D63" s="16"/>
      <c r="E63" s="16"/>
      <c r="F63" s="16"/>
      <c r="G63" s="16"/>
      <c r="H63" s="1"/>
    </row>
    <row r="64" spans="1:8" x14ac:dyDescent="0.25">
      <c r="A64" s="16"/>
      <c r="B64" s="16"/>
      <c r="C64" s="16"/>
      <c r="D64" s="16"/>
      <c r="E64" s="16"/>
      <c r="F64" s="16"/>
      <c r="G64" s="16"/>
      <c r="H64" s="1"/>
    </row>
    <row r="65" spans="1:9" x14ac:dyDescent="0.25">
      <c r="A65" s="16"/>
      <c r="B65" s="16"/>
      <c r="C65" s="16"/>
      <c r="D65" s="16"/>
      <c r="E65" s="16"/>
      <c r="F65" s="16"/>
      <c r="G65" s="16"/>
      <c r="H65" s="1"/>
    </row>
    <row r="66" spans="1:9" x14ac:dyDescent="0.25">
      <c r="A66" s="16"/>
      <c r="B66" s="16"/>
      <c r="C66" s="16"/>
      <c r="D66" s="16"/>
      <c r="E66" s="16"/>
      <c r="F66" s="16"/>
      <c r="G66" s="16"/>
      <c r="H66" s="1"/>
    </row>
    <row r="67" spans="1:9" x14ac:dyDescent="0.25">
      <c r="A67" s="16"/>
      <c r="B67" s="16"/>
      <c r="C67" s="16"/>
      <c r="D67" s="16"/>
      <c r="E67" s="16"/>
      <c r="F67" s="16"/>
      <c r="G67" s="16"/>
      <c r="H67" s="1"/>
    </row>
    <row r="68" spans="1:9" x14ac:dyDescent="0.25">
      <c r="A68" s="16"/>
      <c r="B68" s="16"/>
      <c r="C68" s="16"/>
      <c r="D68" s="16"/>
      <c r="E68" s="16"/>
      <c r="F68" s="16"/>
      <c r="G68" s="16"/>
      <c r="H68" s="1"/>
    </row>
    <row r="69" spans="1:9" x14ac:dyDescent="0.25">
      <c r="A69" s="16"/>
      <c r="B69" s="16"/>
      <c r="C69" s="16"/>
      <c r="D69" s="16"/>
      <c r="E69" s="16"/>
      <c r="F69" s="16"/>
      <c r="G69" s="16"/>
      <c r="H69" s="1"/>
    </row>
    <row r="70" spans="1:9" x14ac:dyDescent="0.25">
      <c r="A70" s="16"/>
      <c r="B70" s="16"/>
      <c r="C70" s="16"/>
      <c r="D70" s="16"/>
      <c r="E70" s="16"/>
      <c r="F70" s="16"/>
      <c r="G70" s="16"/>
      <c r="H70" s="1"/>
    </row>
    <row r="71" spans="1:9" x14ac:dyDescent="0.25">
      <c r="A71" s="16"/>
      <c r="B71" s="16"/>
      <c r="C71" s="16"/>
      <c r="D71" s="16"/>
      <c r="E71" s="16"/>
      <c r="F71" s="16"/>
      <c r="G71" s="16"/>
      <c r="H71" s="1"/>
    </row>
    <row r="72" spans="1:9" x14ac:dyDescent="0.25">
      <c r="A72" s="16"/>
      <c r="B72" s="16"/>
      <c r="C72" s="16"/>
      <c r="D72" s="16"/>
      <c r="E72" s="16"/>
      <c r="F72" s="16"/>
      <c r="G72" s="16"/>
      <c r="H72" s="1"/>
    </row>
    <row r="73" spans="1:9" x14ac:dyDescent="0.25">
      <c r="A73" s="16"/>
      <c r="B73" s="16"/>
      <c r="C73" s="16"/>
      <c r="D73" s="16"/>
      <c r="E73" s="16"/>
      <c r="F73" s="16"/>
      <c r="G73" s="16"/>
      <c r="H73" s="1"/>
    </row>
    <row r="74" spans="1:9" x14ac:dyDescent="0.25">
      <c r="A74" s="16"/>
      <c r="B74" s="16"/>
      <c r="C74" s="16"/>
      <c r="D74" s="16"/>
      <c r="E74" s="16"/>
      <c r="F74" s="16"/>
      <c r="G74" s="16"/>
      <c r="H74" s="1"/>
    </row>
    <row r="75" spans="1:9" x14ac:dyDescent="0.25">
      <c r="A75" s="16"/>
      <c r="B75" s="16"/>
      <c r="C75" s="16"/>
      <c r="D75" s="16"/>
      <c r="E75" s="16"/>
      <c r="F75" s="16"/>
      <c r="G75" s="16"/>
      <c r="H75" s="1"/>
    </row>
    <row r="76" spans="1:9" x14ac:dyDescent="0.25">
      <c r="A76" s="16"/>
      <c r="B76" s="16"/>
      <c r="C76" s="16"/>
      <c r="D76" s="16"/>
      <c r="E76" s="16"/>
      <c r="F76" s="16"/>
      <c r="G76" s="16"/>
      <c r="H76" s="1"/>
    </row>
    <row r="77" spans="1:9" x14ac:dyDescent="0.25">
      <c r="A77" s="16"/>
      <c r="B77" s="16"/>
      <c r="C77" s="16"/>
      <c r="D77" s="16"/>
      <c r="E77" s="16"/>
      <c r="F77" s="16"/>
      <c r="G77" s="16"/>
      <c r="H77" s="1"/>
    </row>
    <row r="78" spans="1:9" x14ac:dyDescent="0.25">
      <c r="A78" s="16"/>
      <c r="B78" s="16"/>
      <c r="C78" s="16"/>
      <c r="D78" s="16"/>
      <c r="E78" s="16"/>
      <c r="F78" s="16"/>
      <c r="G78" s="16"/>
      <c r="H78" s="1"/>
    </row>
    <row r="79" spans="1:9" x14ac:dyDescent="0.25">
      <c r="A79" s="16"/>
      <c r="B79" s="16"/>
      <c r="C79" s="16"/>
      <c r="D79" s="16"/>
      <c r="E79" s="16"/>
      <c r="F79" s="16"/>
      <c r="G79" s="16"/>
      <c r="H79" s="16"/>
      <c r="I79" s="1"/>
    </row>
    <row r="80" spans="1:9" x14ac:dyDescent="0.25">
      <c r="A80" s="16"/>
      <c r="B80" s="16"/>
      <c r="C80" s="16"/>
      <c r="D80" s="16"/>
      <c r="E80" s="16"/>
      <c r="F80" s="16"/>
      <c r="G80" s="16"/>
      <c r="H80" s="16"/>
      <c r="I80" s="1"/>
    </row>
    <row r="81" spans="1:9" x14ac:dyDescent="0.25">
      <c r="A81" s="16"/>
      <c r="B81" s="16"/>
      <c r="C81" s="16"/>
      <c r="D81" s="16"/>
      <c r="E81" s="16"/>
      <c r="F81" s="16"/>
      <c r="G81" s="16"/>
      <c r="H81" s="16"/>
      <c r="I81" s="1"/>
    </row>
    <row r="82" spans="1:9" x14ac:dyDescent="0.25">
      <c r="A82" s="16"/>
      <c r="B82" s="16"/>
      <c r="C82" s="16"/>
      <c r="D82" s="16"/>
      <c r="E82" s="16"/>
      <c r="F82" s="16"/>
      <c r="G82" s="16"/>
      <c r="H82" s="16"/>
      <c r="I82" s="1"/>
    </row>
    <row r="83" spans="1:9" x14ac:dyDescent="0.25">
      <c r="A83" s="16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6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6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6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6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6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6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6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6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6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6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6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6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6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6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6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6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6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6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6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6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6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6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6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6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6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6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6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6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6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6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6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6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6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6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6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6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6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6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6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6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6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6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6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6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6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6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6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6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6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6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6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6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6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6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6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6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6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6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6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6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6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6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6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6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6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6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6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6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6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6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6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6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6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6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6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6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6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6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6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6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6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6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6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6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6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6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6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6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6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6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6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6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6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6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6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6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6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6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6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6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6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6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6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6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6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6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6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6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6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6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6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6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6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6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6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6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6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6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6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6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6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6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6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6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6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6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6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6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6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6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6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6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6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6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6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6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6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6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6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6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6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6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6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6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6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6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6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6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6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6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6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6"/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6"/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6"/>
      <c r="B237" s="1"/>
      <c r="C237" s="1"/>
      <c r="D237" s="1"/>
      <c r="E237" s="1"/>
      <c r="F237" s="1"/>
      <c r="G237" s="1"/>
      <c r="H237" s="1"/>
      <c r="I237" s="1"/>
    </row>
    <row r="238" spans="1:9" x14ac:dyDescent="0.25">
      <c r="A238" s="16"/>
      <c r="B238" s="1"/>
      <c r="C238" s="1"/>
      <c r="D238" s="1"/>
      <c r="E238" s="1"/>
      <c r="F238" s="1"/>
      <c r="G238" s="1"/>
      <c r="H238" s="1"/>
      <c r="I238" s="1"/>
    </row>
    <row r="239" spans="1:9" x14ac:dyDescent="0.25">
      <c r="A239" s="16"/>
      <c r="B239" s="1"/>
      <c r="C239" s="1"/>
      <c r="D239" s="1"/>
      <c r="E239" s="1"/>
      <c r="F239" s="1"/>
      <c r="G239" s="1"/>
      <c r="H239" s="1"/>
      <c r="I239" s="1"/>
    </row>
    <row r="240" spans="1:9" x14ac:dyDescent="0.25">
      <c r="A240" s="16"/>
      <c r="B240" s="1"/>
      <c r="C240" s="1"/>
      <c r="D240" s="1"/>
      <c r="E240" s="1"/>
      <c r="F240" s="1"/>
      <c r="G240" s="1"/>
      <c r="H240" s="1"/>
      <c r="I240" s="1"/>
    </row>
    <row r="241" spans="1:9" x14ac:dyDescent="0.25">
      <c r="A241" s="16"/>
      <c r="B241" s="1"/>
      <c r="C241" s="1"/>
      <c r="D241" s="1"/>
      <c r="E241" s="1"/>
      <c r="F241" s="1"/>
      <c r="G241" s="1"/>
      <c r="H241" s="1"/>
      <c r="I241" s="1"/>
    </row>
    <row r="242" spans="1:9" x14ac:dyDescent="0.25">
      <c r="A242" s="16"/>
      <c r="B242" s="1"/>
      <c r="C242" s="1"/>
      <c r="D242" s="1"/>
      <c r="E242" s="1"/>
      <c r="F242" s="1"/>
      <c r="G242" s="1"/>
      <c r="H242" s="1"/>
      <c r="I242" s="1"/>
    </row>
    <row r="243" spans="1:9" x14ac:dyDescent="0.25">
      <c r="A243" s="16"/>
      <c r="B243" s="1"/>
      <c r="C243" s="1"/>
      <c r="D243" s="1"/>
      <c r="E243" s="1"/>
      <c r="F243" s="1"/>
      <c r="G243" s="1"/>
      <c r="H243" s="1"/>
      <c r="I243" s="1"/>
    </row>
    <row r="244" spans="1:9" x14ac:dyDescent="0.25">
      <c r="A244" s="16"/>
      <c r="B244" s="1"/>
      <c r="C244" s="1"/>
      <c r="D244" s="1"/>
      <c r="E244" s="1"/>
      <c r="F244" s="1"/>
      <c r="G244" s="1"/>
      <c r="H244" s="1"/>
      <c r="I244" s="1"/>
    </row>
    <row r="245" spans="1:9" x14ac:dyDescent="0.25">
      <c r="A245" s="16"/>
      <c r="B245" s="1"/>
      <c r="C245" s="1"/>
      <c r="D245" s="1"/>
      <c r="E245" s="1"/>
      <c r="F245" s="1"/>
      <c r="G245" s="1"/>
      <c r="H245" s="1"/>
      <c r="I245" s="1"/>
    </row>
    <row r="246" spans="1:9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9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9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9" x14ac:dyDescent="0.25">
      <c r="A251" s="1"/>
      <c r="B251" s="1"/>
      <c r="C251" s="1"/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/>
      <c r="D252" s="1"/>
      <c r="E252" s="1"/>
      <c r="F252" s="1"/>
      <c r="G252" s="1"/>
      <c r="H252" s="1"/>
      <c r="I252" s="1"/>
    </row>
    <row r="253" spans="1:9" x14ac:dyDescent="0.25">
      <c r="A253" s="1"/>
      <c r="B253" s="1"/>
      <c r="C253" s="1"/>
      <c r="D253" s="1"/>
      <c r="E253" s="1"/>
      <c r="F253" s="1"/>
      <c r="G253" s="1"/>
      <c r="H253" s="1"/>
      <c r="I253" s="1"/>
    </row>
    <row r="254" spans="1:9" x14ac:dyDescent="0.25">
      <c r="A254" s="1"/>
      <c r="B254" s="1"/>
      <c r="C254" s="1"/>
      <c r="D254" s="1"/>
      <c r="E254" s="1"/>
      <c r="F254" s="1"/>
      <c r="G254" s="1"/>
      <c r="H254" s="1"/>
      <c r="I254" s="1"/>
    </row>
    <row r="255" spans="1:9" x14ac:dyDescent="0.25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25">
      <c r="A256" s="1"/>
      <c r="B256" s="1"/>
      <c r="C256" s="1"/>
      <c r="D256" s="1"/>
      <c r="E256" s="1"/>
      <c r="F256" s="1"/>
      <c r="G256" s="1"/>
      <c r="H256" s="1"/>
      <c r="I256" s="1"/>
    </row>
    <row r="257" spans="1:9" x14ac:dyDescent="0.25">
      <c r="A257" s="1"/>
      <c r="B257" s="1"/>
      <c r="C257" s="1"/>
      <c r="D257" s="1"/>
      <c r="E257" s="1"/>
      <c r="F257" s="1"/>
      <c r="G257" s="1"/>
      <c r="H257" s="1"/>
      <c r="I257" s="1"/>
    </row>
    <row r="258" spans="1:9" x14ac:dyDescent="0.25">
      <c r="A258" s="1"/>
      <c r="B258" s="1"/>
      <c r="C258" s="1"/>
      <c r="D258" s="1"/>
      <c r="E258" s="1"/>
      <c r="F258" s="1"/>
      <c r="G258" s="1"/>
      <c r="H258" s="1"/>
      <c r="I258" s="1"/>
    </row>
    <row r="259" spans="1:9" x14ac:dyDescent="0.25">
      <c r="A259" s="1"/>
      <c r="B259" s="1"/>
      <c r="C259" s="1"/>
      <c r="D259" s="1"/>
      <c r="E259" s="1"/>
      <c r="F259" s="1"/>
      <c r="G259" s="1"/>
      <c r="H259" s="1"/>
      <c r="I259" s="1"/>
    </row>
    <row r="260" spans="1:9" x14ac:dyDescent="0.25">
      <c r="A260" s="1"/>
      <c r="B260" s="1"/>
      <c r="C260" s="1"/>
      <c r="D260" s="1"/>
      <c r="E260" s="1"/>
      <c r="F260" s="1"/>
      <c r="G260" s="1"/>
      <c r="H260" s="1"/>
      <c r="I260" s="1"/>
    </row>
    <row r="261" spans="1:9" x14ac:dyDescent="0.25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25">
      <c r="A262" s="1"/>
      <c r="B262" s="1"/>
      <c r="C262" s="1"/>
      <c r="D262" s="1"/>
      <c r="E262" s="1"/>
      <c r="F262" s="1"/>
      <c r="G262" s="1"/>
      <c r="H262" s="1"/>
      <c r="I262" s="1"/>
    </row>
    <row r="263" spans="1:9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9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9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9" x14ac:dyDescent="0.25">
      <c r="A266" s="1"/>
      <c r="B266" s="1"/>
      <c r="C266" s="1"/>
      <c r="D266" s="1"/>
      <c r="E266" s="1"/>
      <c r="F266" s="1"/>
      <c r="G266" s="1"/>
      <c r="H266" s="1"/>
      <c r="I266" s="1"/>
    </row>
    <row r="267" spans="1:9" x14ac:dyDescent="0.25">
      <c r="A267" s="1"/>
      <c r="B267" s="1"/>
      <c r="C267" s="1"/>
      <c r="D267" s="1"/>
      <c r="E267" s="1"/>
      <c r="F267" s="1"/>
      <c r="G267" s="1"/>
      <c r="H267" s="1"/>
      <c r="I267" s="1"/>
    </row>
    <row r="268" spans="1:9" x14ac:dyDescent="0.25">
      <c r="A268" s="1"/>
      <c r="B268" s="1"/>
      <c r="C268" s="1"/>
      <c r="D268" s="1"/>
      <c r="E268" s="1"/>
      <c r="F268" s="1"/>
      <c r="G268" s="1"/>
      <c r="H268" s="1"/>
      <c r="I268" s="1"/>
    </row>
    <row r="269" spans="1:9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9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9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9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9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9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9" x14ac:dyDescent="0.25">
      <c r="A275" s="1"/>
      <c r="B275" s="1"/>
      <c r="C275" s="1"/>
      <c r="D275" s="1"/>
      <c r="E275" s="1"/>
      <c r="F275" s="1"/>
      <c r="G275" s="1"/>
      <c r="H275" s="1"/>
      <c r="I275" s="1"/>
    </row>
    <row r="276" spans="1:9" x14ac:dyDescent="0.25">
      <c r="A276" s="1"/>
      <c r="B276" s="1"/>
      <c r="C276" s="1"/>
      <c r="D276" s="1"/>
      <c r="E276" s="1"/>
      <c r="F276" s="1"/>
      <c r="G276" s="1"/>
      <c r="H276" s="1"/>
      <c r="I276" s="1"/>
    </row>
    <row r="277" spans="1:9" x14ac:dyDescent="0.25">
      <c r="A277" s="1"/>
      <c r="B277" s="1"/>
      <c r="C277" s="1"/>
      <c r="D277" s="1"/>
      <c r="E277" s="1"/>
      <c r="F277" s="1"/>
      <c r="G277" s="1"/>
      <c r="H277" s="1"/>
      <c r="I277" s="1"/>
    </row>
    <row r="278" spans="1:9" x14ac:dyDescent="0.25">
      <c r="A278" s="1"/>
      <c r="B278" s="1"/>
      <c r="C278" s="1"/>
      <c r="D278" s="1"/>
      <c r="E278" s="1"/>
      <c r="F278" s="1"/>
      <c r="G278" s="1"/>
      <c r="H278" s="1"/>
      <c r="I278" s="1"/>
    </row>
    <row r="279" spans="1:9" x14ac:dyDescent="0.25">
      <c r="A279" s="1"/>
      <c r="B279" s="1"/>
      <c r="C279" s="1"/>
      <c r="D279" s="1"/>
      <c r="E279" s="1"/>
      <c r="F279" s="1"/>
      <c r="G279" s="1"/>
      <c r="H279" s="1"/>
      <c r="I279" s="1"/>
    </row>
    <row r="280" spans="1:9" x14ac:dyDescent="0.25">
      <c r="A280" s="1"/>
      <c r="B280" s="1"/>
      <c r="C280" s="1"/>
      <c r="D280" s="1"/>
      <c r="E280" s="1"/>
      <c r="F280" s="1"/>
      <c r="G280" s="1"/>
      <c r="H280" s="1"/>
      <c r="I280" s="1"/>
    </row>
    <row r="281" spans="1:9" x14ac:dyDescent="0.25">
      <c r="A281" s="1"/>
      <c r="B281" s="1"/>
      <c r="C281" s="1"/>
      <c r="D281" s="1"/>
      <c r="E281" s="1"/>
      <c r="F281" s="1"/>
      <c r="G281" s="1"/>
      <c r="H281" s="1"/>
      <c r="I281" s="1"/>
    </row>
    <row r="282" spans="1:9" x14ac:dyDescent="0.25">
      <c r="A282" s="1"/>
      <c r="B282" s="1"/>
      <c r="C282" s="1"/>
      <c r="D282" s="1"/>
      <c r="E282" s="1"/>
      <c r="F282" s="1"/>
      <c r="G282" s="1"/>
      <c r="H282" s="1"/>
      <c r="I282" s="1"/>
    </row>
    <row r="283" spans="1:9" x14ac:dyDescent="0.25">
      <c r="A283" s="1"/>
      <c r="B283" s="1"/>
      <c r="C283" s="1"/>
      <c r="D283" s="1"/>
      <c r="E283" s="1"/>
      <c r="F283" s="1"/>
      <c r="G283" s="1"/>
      <c r="H283" s="1"/>
      <c r="I283" s="1"/>
    </row>
    <row r="284" spans="1:9" x14ac:dyDescent="0.25">
      <c r="A284" s="1"/>
      <c r="B284" s="1"/>
      <c r="C284" s="1"/>
      <c r="D284" s="1"/>
      <c r="E284" s="1"/>
      <c r="F284" s="1"/>
      <c r="G284" s="1"/>
      <c r="H284" s="1"/>
      <c r="I284" s="1"/>
    </row>
    <row r="285" spans="1:9" x14ac:dyDescent="0.25">
      <c r="A285" s="1"/>
      <c r="B285" s="1"/>
      <c r="C285" s="1"/>
      <c r="D285" s="1"/>
      <c r="E285" s="1"/>
      <c r="F285" s="1"/>
      <c r="G285" s="1"/>
      <c r="H285" s="1"/>
      <c r="I285" s="1"/>
    </row>
    <row r="286" spans="1:9" x14ac:dyDescent="0.25">
      <c r="A286" s="1"/>
      <c r="B286" s="1"/>
      <c r="C286" s="1"/>
      <c r="D286" s="1"/>
      <c r="E286" s="1"/>
      <c r="F286" s="1"/>
      <c r="G286" s="1"/>
      <c r="H286" s="1"/>
      <c r="I286" s="1"/>
    </row>
    <row r="287" spans="1:9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s="1"/>
      <c r="B291" s="1"/>
      <c r="C291" s="1"/>
      <c r="D291" s="1"/>
      <c r="E291" s="1"/>
      <c r="F291" s="1"/>
      <c r="G291" s="1"/>
      <c r="H291" s="1"/>
      <c r="I291" s="1"/>
    </row>
    <row r="292" spans="1:9" x14ac:dyDescent="0.25">
      <c r="A292" s="1"/>
      <c r="B292" s="1"/>
      <c r="C292" s="1"/>
      <c r="D292" s="1"/>
      <c r="E292" s="1"/>
      <c r="F292" s="1"/>
      <c r="G292" s="1"/>
      <c r="H292" s="1"/>
      <c r="I292" s="1"/>
    </row>
    <row r="293" spans="1:9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9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9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9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9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9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9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9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9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9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9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4" spans="1:9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A343" s="1"/>
      <c r="B343" s="1"/>
      <c r="C343" s="1"/>
      <c r="D343" s="1"/>
      <c r="E343" s="1"/>
      <c r="F343" s="1"/>
      <c r="G343" s="1"/>
      <c r="H343" s="1"/>
      <c r="I343" s="1"/>
    </row>
    <row r="344" spans="1:9" x14ac:dyDescent="0.25">
      <c r="A344" s="1"/>
      <c r="B344" s="1"/>
      <c r="C344" s="1"/>
      <c r="D344" s="1"/>
      <c r="E344" s="1"/>
      <c r="F344" s="1"/>
      <c r="G344" s="1"/>
      <c r="H344" s="1"/>
      <c r="I344" s="1"/>
    </row>
    <row r="345" spans="1:9" x14ac:dyDescent="0.25">
      <c r="A345" s="1"/>
      <c r="B345" s="1"/>
      <c r="C345" s="1"/>
      <c r="D345" s="1"/>
      <c r="E345" s="1"/>
      <c r="F345" s="1"/>
      <c r="G345" s="1"/>
      <c r="H345" s="1"/>
      <c r="I345" s="1"/>
    </row>
    <row r="346" spans="1:9" x14ac:dyDescent="0.25">
      <c r="A346" s="1"/>
      <c r="B346" s="1"/>
      <c r="C346" s="1"/>
      <c r="D346" s="1"/>
      <c r="E346" s="1"/>
      <c r="F346" s="1"/>
      <c r="G346" s="1"/>
      <c r="H346" s="1"/>
      <c r="I346" s="1"/>
    </row>
    <row r="347" spans="1:9" x14ac:dyDescent="0.25">
      <c r="A347" s="1"/>
      <c r="B347" s="1"/>
      <c r="C347" s="1"/>
      <c r="D347" s="1"/>
      <c r="E347" s="1"/>
      <c r="F347" s="1"/>
      <c r="G347" s="1"/>
      <c r="H347" s="1"/>
      <c r="I347" s="1"/>
    </row>
    <row r="348" spans="1:9" x14ac:dyDescent="0.25">
      <c r="A348" s="1"/>
      <c r="B348" s="1"/>
      <c r="C348" s="1"/>
      <c r="D348" s="1"/>
      <c r="E348" s="1"/>
      <c r="F348" s="1"/>
      <c r="G348" s="1"/>
      <c r="H348" s="1"/>
      <c r="I348" s="1"/>
    </row>
    <row r="349" spans="1:9" x14ac:dyDescent="0.25">
      <c r="A349" s="1"/>
      <c r="B349" s="1"/>
      <c r="C349" s="1"/>
      <c r="D349" s="1"/>
      <c r="E349" s="1"/>
      <c r="F349" s="1"/>
      <c r="G349" s="1"/>
      <c r="H349" s="1"/>
      <c r="I349" s="1"/>
    </row>
    <row r="350" spans="1:9" x14ac:dyDescent="0.25">
      <c r="A350" s="1"/>
      <c r="B350" s="1"/>
      <c r="C350" s="1"/>
      <c r="D350" s="1"/>
      <c r="E350" s="1"/>
      <c r="F350" s="1"/>
      <c r="G350" s="1"/>
      <c r="H350" s="1"/>
      <c r="I350" s="1"/>
    </row>
    <row r="351" spans="1:9" x14ac:dyDescent="0.25">
      <c r="A351" s="1"/>
      <c r="B351" s="1"/>
      <c r="C351" s="1"/>
      <c r="D351" s="1"/>
      <c r="E351" s="1"/>
      <c r="F351" s="1"/>
      <c r="G351" s="1"/>
      <c r="H351" s="1"/>
      <c r="I351" s="1"/>
    </row>
    <row r="352" spans="1:9" x14ac:dyDescent="0.25">
      <c r="A352" s="1"/>
      <c r="B352" s="1"/>
      <c r="C352" s="1"/>
      <c r="D352" s="1"/>
      <c r="E352" s="1"/>
      <c r="F352" s="1"/>
      <c r="G352" s="1"/>
      <c r="H352" s="1"/>
      <c r="I352" s="1"/>
    </row>
    <row r="353" spans="1:9" x14ac:dyDescent="0.25">
      <c r="A353" s="1"/>
      <c r="B353" s="1"/>
      <c r="C353" s="1"/>
      <c r="D353" s="1"/>
      <c r="E353" s="1"/>
      <c r="F353" s="1"/>
      <c r="G353" s="1"/>
      <c r="H353" s="1"/>
      <c r="I353" s="1"/>
    </row>
    <row r="354" spans="1:9" x14ac:dyDescent="0.25">
      <c r="A354" s="1"/>
      <c r="B354" s="1"/>
      <c r="C354" s="1"/>
      <c r="D354" s="1"/>
      <c r="E354" s="1"/>
      <c r="F354" s="1"/>
      <c r="G354" s="1"/>
      <c r="H354" s="1"/>
      <c r="I354" s="1"/>
    </row>
    <row r="355" spans="1:9" x14ac:dyDescent="0.25">
      <c r="A355" s="1"/>
      <c r="B355" s="1"/>
      <c r="C355" s="1"/>
      <c r="D355" s="1"/>
      <c r="E355" s="1"/>
      <c r="F355" s="1"/>
      <c r="G355" s="1"/>
      <c r="H355" s="1"/>
      <c r="I355" s="1"/>
    </row>
    <row r="356" spans="1:9" x14ac:dyDescent="0.25">
      <c r="A356" s="1"/>
      <c r="B356" s="1"/>
      <c r="C356" s="1"/>
      <c r="D356" s="1"/>
      <c r="E356" s="1"/>
      <c r="F356" s="1"/>
      <c r="G356" s="1"/>
      <c r="H356" s="1"/>
      <c r="I356" s="1"/>
    </row>
    <row r="357" spans="1:9" x14ac:dyDescent="0.25">
      <c r="A357" s="1"/>
      <c r="B357" s="1"/>
      <c r="C357" s="1"/>
      <c r="D357" s="1"/>
      <c r="E357" s="1"/>
      <c r="F357" s="1"/>
      <c r="G357" s="1"/>
      <c r="H357" s="1"/>
      <c r="I357" s="1"/>
    </row>
    <row r="358" spans="1:9" x14ac:dyDescent="0.25">
      <c r="A358" s="1"/>
      <c r="B358" s="1"/>
      <c r="C358" s="1"/>
      <c r="D358" s="1"/>
      <c r="E358" s="1"/>
      <c r="F358" s="1"/>
      <c r="G358" s="1"/>
      <c r="H358" s="1"/>
      <c r="I358" s="1"/>
    </row>
    <row r="359" spans="1:9" x14ac:dyDescent="0.25">
      <c r="A359" s="1"/>
      <c r="B359" s="1"/>
      <c r="C359" s="1"/>
      <c r="D359" s="1"/>
      <c r="E359" s="1"/>
      <c r="F359" s="1"/>
      <c r="G359" s="1"/>
      <c r="H359" s="1"/>
      <c r="I359" s="1"/>
    </row>
    <row r="360" spans="1:9" x14ac:dyDescent="0.25">
      <c r="A360" s="1"/>
      <c r="B360" s="1"/>
      <c r="C360" s="1"/>
      <c r="D360" s="1"/>
      <c r="E360" s="1"/>
      <c r="F360" s="1"/>
      <c r="G360" s="1"/>
      <c r="H360" s="1"/>
      <c r="I360" s="1"/>
    </row>
    <row r="361" spans="1:9" x14ac:dyDescent="0.25">
      <c r="A361" s="1"/>
      <c r="B361" s="1"/>
      <c r="C361" s="1"/>
      <c r="D361" s="1"/>
      <c r="E361" s="1"/>
      <c r="F361" s="1"/>
      <c r="G361" s="1"/>
      <c r="H361" s="1"/>
      <c r="I361" s="1"/>
    </row>
    <row r="362" spans="1:9" x14ac:dyDescent="0.25">
      <c r="A362" s="1"/>
      <c r="B362" s="1"/>
      <c r="C362" s="1"/>
      <c r="D362" s="1"/>
      <c r="E362" s="1"/>
      <c r="F362" s="1"/>
      <c r="G362" s="1"/>
      <c r="H362" s="1"/>
      <c r="I362" s="1"/>
    </row>
    <row r="363" spans="1:9" x14ac:dyDescent="0.25">
      <c r="A363" s="1"/>
      <c r="B363" s="1"/>
      <c r="C363" s="1"/>
      <c r="D363" s="1"/>
      <c r="E363" s="1"/>
      <c r="F363" s="1"/>
      <c r="G363" s="1"/>
      <c r="H363" s="1"/>
      <c r="I363" s="1"/>
    </row>
    <row r="364" spans="1:9" x14ac:dyDescent="0.25">
      <c r="A364" s="1"/>
      <c r="B364" s="1"/>
      <c r="C364" s="1"/>
      <c r="D364" s="1"/>
      <c r="E364" s="1"/>
      <c r="F364" s="1"/>
      <c r="G364" s="1"/>
      <c r="H364" s="1"/>
      <c r="I364" s="1"/>
    </row>
    <row r="365" spans="1:9" x14ac:dyDescent="0.25">
      <c r="A365" s="1"/>
      <c r="B365" s="1"/>
      <c r="C365" s="1"/>
      <c r="D365" s="1"/>
      <c r="E365" s="1"/>
      <c r="F365" s="1"/>
      <c r="G365" s="1"/>
      <c r="H365" s="1"/>
      <c r="I365" s="1"/>
    </row>
    <row r="366" spans="1:9" x14ac:dyDescent="0.25">
      <c r="A366" s="1"/>
      <c r="B366" s="1"/>
      <c r="C366" s="1"/>
      <c r="D366" s="1"/>
      <c r="E366" s="1"/>
      <c r="F366" s="1"/>
      <c r="G366" s="1"/>
      <c r="H366" s="1"/>
      <c r="I366" s="1"/>
    </row>
    <row r="367" spans="1:9" x14ac:dyDescent="0.25">
      <c r="A367" s="1"/>
      <c r="B367" s="1"/>
      <c r="C367" s="1"/>
      <c r="D367" s="1"/>
      <c r="E367" s="1"/>
      <c r="F367" s="1"/>
      <c r="G367" s="1"/>
      <c r="H367" s="1"/>
      <c r="I367" s="1"/>
    </row>
    <row r="368" spans="1:9" x14ac:dyDescent="0.25">
      <c r="A368" s="1"/>
      <c r="B368" s="1"/>
      <c r="C368" s="1"/>
      <c r="D368" s="1"/>
      <c r="E368" s="1"/>
      <c r="F368" s="1"/>
      <c r="G368" s="1"/>
      <c r="H368" s="1"/>
      <c r="I368" s="1"/>
    </row>
    <row r="369" spans="1:9" x14ac:dyDescent="0.25">
      <c r="A369" s="1"/>
      <c r="B369" s="1"/>
      <c r="C369" s="1"/>
      <c r="D369" s="1"/>
      <c r="E369" s="1"/>
      <c r="F369" s="1"/>
      <c r="G369" s="1"/>
      <c r="H369" s="1"/>
      <c r="I369" s="1"/>
    </row>
    <row r="370" spans="1:9" x14ac:dyDescent="0.25">
      <c r="A370" s="1"/>
      <c r="B370" s="1"/>
      <c r="C370" s="1"/>
      <c r="D370" s="1"/>
      <c r="E370" s="1"/>
      <c r="F370" s="1"/>
      <c r="G370" s="1"/>
      <c r="H370" s="1"/>
      <c r="I370" s="1"/>
    </row>
    <row r="371" spans="1:9" x14ac:dyDescent="0.25">
      <c r="A371" s="1"/>
      <c r="B371" s="1"/>
      <c r="C371" s="1"/>
      <c r="D371" s="1"/>
      <c r="E371" s="1"/>
      <c r="F371" s="1"/>
      <c r="G371" s="1"/>
      <c r="H371" s="1"/>
      <c r="I371" s="1"/>
    </row>
    <row r="372" spans="1:9" x14ac:dyDescent="0.25">
      <c r="A372" s="1"/>
      <c r="B372" s="1"/>
      <c r="C372" s="1"/>
      <c r="D372" s="1"/>
      <c r="E372" s="1"/>
      <c r="F372" s="1"/>
      <c r="G372" s="1"/>
      <c r="H372" s="1"/>
      <c r="I372" s="1"/>
    </row>
    <row r="373" spans="1:9" x14ac:dyDescent="0.25">
      <c r="A373" s="1"/>
      <c r="B373" s="1"/>
      <c r="C373" s="1"/>
      <c r="D373" s="1"/>
      <c r="E373" s="1"/>
      <c r="F373" s="1"/>
      <c r="G373" s="1"/>
      <c r="H373" s="1"/>
      <c r="I373" s="1"/>
    </row>
    <row r="374" spans="1:9" x14ac:dyDescent="0.25">
      <c r="A374" s="1"/>
      <c r="B374" s="1"/>
      <c r="C374" s="1"/>
      <c r="D374" s="1"/>
      <c r="E374" s="1"/>
      <c r="F374" s="1"/>
      <c r="G374" s="1"/>
      <c r="H374" s="1"/>
      <c r="I374" s="1"/>
    </row>
    <row r="375" spans="1:9" x14ac:dyDescent="0.25">
      <c r="A375" s="1"/>
      <c r="B375" s="1"/>
      <c r="C375" s="1"/>
      <c r="D375" s="1"/>
      <c r="E375" s="1"/>
      <c r="F375" s="1"/>
      <c r="G375" s="1"/>
      <c r="H375" s="1"/>
      <c r="I375" s="1"/>
    </row>
    <row r="376" spans="1:9" x14ac:dyDescent="0.25">
      <c r="A376" s="1"/>
      <c r="B376" s="1"/>
      <c r="C376" s="1"/>
      <c r="D376" s="1"/>
      <c r="E376" s="1"/>
      <c r="F376" s="1"/>
      <c r="G376" s="1"/>
      <c r="H376" s="1"/>
      <c r="I376" s="1"/>
    </row>
    <row r="377" spans="1:9" x14ac:dyDescent="0.25">
      <c r="A377" s="1"/>
      <c r="B377" s="1"/>
      <c r="C377" s="1"/>
      <c r="D377" s="1"/>
      <c r="E377" s="1"/>
      <c r="F377" s="1"/>
      <c r="G377" s="1"/>
      <c r="H377" s="1"/>
      <c r="I377" s="1"/>
    </row>
    <row r="378" spans="1:9" x14ac:dyDescent="0.25">
      <c r="A378" s="1"/>
      <c r="B378" s="1"/>
      <c r="C378" s="1"/>
      <c r="D378" s="1"/>
      <c r="E378" s="1"/>
      <c r="F378" s="1"/>
      <c r="G378" s="1"/>
      <c r="H378" s="1"/>
      <c r="I378" s="1"/>
    </row>
    <row r="379" spans="1:9" x14ac:dyDescent="0.25">
      <c r="A379" s="1"/>
      <c r="B379" s="1"/>
      <c r="C379" s="1"/>
      <c r="D379" s="1"/>
      <c r="E379" s="1"/>
      <c r="F379" s="1"/>
      <c r="G379" s="1"/>
      <c r="H379" s="1"/>
      <c r="I379" s="1"/>
    </row>
    <row r="380" spans="1:9" x14ac:dyDescent="0.25">
      <c r="A380" s="1"/>
      <c r="B380" s="1"/>
      <c r="C380" s="1"/>
      <c r="D380" s="1"/>
      <c r="E380" s="1"/>
      <c r="F380" s="1"/>
      <c r="G380" s="1"/>
      <c r="H380" s="1"/>
      <c r="I380" s="1"/>
    </row>
    <row r="381" spans="1:9" x14ac:dyDescent="0.25">
      <c r="A381" s="1"/>
      <c r="B381" s="1"/>
      <c r="C381" s="1"/>
      <c r="D381" s="1"/>
      <c r="E381" s="1"/>
      <c r="F381" s="1"/>
      <c r="G381" s="1"/>
      <c r="H381" s="1"/>
      <c r="I381" s="1"/>
    </row>
    <row r="382" spans="1:9" x14ac:dyDescent="0.25">
      <c r="A382" s="1"/>
      <c r="B382" s="1"/>
      <c r="C382" s="1"/>
      <c r="D382" s="1"/>
      <c r="E382" s="1"/>
      <c r="F382" s="1"/>
      <c r="G382" s="1"/>
      <c r="H382" s="1"/>
      <c r="I382" s="1"/>
    </row>
    <row r="383" spans="1:9" x14ac:dyDescent="0.25">
      <c r="A383" s="1"/>
      <c r="B383" s="1"/>
      <c r="C383" s="1"/>
      <c r="D383" s="1"/>
      <c r="E383" s="1"/>
      <c r="F383" s="1"/>
      <c r="G383" s="1"/>
      <c r="H383" s="1"/>
      <c r="I383" s="1"/>
    </row>
    <row r="384" spans="1:9" x14ac:dyDescent="0.25">
      <c r="A384" s="1"/>
      <c r="B384" s="1"/>
      <c r="C384" s="1"/>
      <c r="D384" s="1"/>
      <c r="E384" s="1"/>
      <c r="F384" s="1"/>
      <c r="G384" s="1"/>
      <c r="H384" s="1"/>
      <c r="I384" s="1"/>
    </row>
    <row r="385" spans="1:9" x14ac:dyDescent="0.25">
      <c r="A385" s="1"/>
      <c r="B385" s="1"/>
      <c r="C385" s="1"/>
      <c r="D385" s="1"/>
      <c r="E385" s="1"/>
      <c r="F385" s="1"/>
      <c r="G385" s="1"/>
      <c r="H385" s="1"/>
      <c r="I385" s="1"/>
    </row>
    <row r="386" spans="1:9" x14ac:dyDescent="0.25">
      <c r="A386" s="1"/>
      <c r="B386" s="1"/>
      <c r="C386" s="1"/>
      <c r="D386" s="1"/>
      <c r="E386" s="1"/>
      <c r="F386" s="1"/>
      <c r="G386" s="1"/>
      <c r="H386" s="1"/>
      <c r="I386" s="1"/>
    </row>
    <row r="387" spans="1:9" x14ac:dyDescent="0.25">
      <c r="A387" s="1"/>
      <c r="B387" s="1"/>
      <c r="C387" s="1"/>
      <c r="D387" s="1"/>
      <c r="E387" s="1"/>
      <c r="F387" s="1"/>
      <c r="G387" s="1"/>
      <c r="H387" s="1"/>
      <c r="I387" s="1"/>
    </row>
    <row r="388" spans="1:9" x14ac:dyDescent="0.25">
      <c r="A388" s="1"/>
      <c r="B388" s="1"/>
      <c r="C388" s="1"/>
      <c r="D388" s="1"/>
      <c r="E388" s="1"/>
      <c r="F388" s="1"/>
      <c r="G388" s="1"/>
      <c r="H388" s="1"/>
      <c r="I388" s="1"/>
    </row>
    <row r="389" spans="1:9" x14ac:dyDescent="0.25">
      <c r="A389" s="1"/>
      <c r="B389" s="1"/>
      <c r="C389" s="1"/>
      <c r="D389" s="1"/>
      <c r="E389" s="1"/>
      <c r="F389" s="1"/>
      <c r="G389" s="1"/>
      <c r="H389" s="1"/>
      <c r="I389" s="1"/>
    </row>
    <row r="390" spans="1:9" x14ac:dyDescent="0.25">
      <c r="A390" s="1"/>
      <c r="B390" s="1"/>
      <c r="C390" s="1"/>
      <c r="D390" s="1"/>
      <c r="E390" s="1"/>
      <c r="F390" s="1"/>
      <c r="G390" s="1"/>
      <c r="H390" s="1"/>
      <c r="I390" s="1"/>
    </row>
    <row r="391" spans="1:9" x14ac:dyDescent="0.25">
      <c r="A391" s="1"/>
      <c r="B391" s="1"/>
      <c r="C391" s="1"/>
      <c r="D391" s="1"/>
      <c r="E391" s="1"/>
      <c r="F391" s="1"/>
      <c r="G391" s="1"/>
      <c r="H391" s="1"/>
      <c r="I391" s="1"/>
    </row>
    <row r="392" spans="1:9" x14ac:dyDescent="0.25">
      <c r="A392" s="1"/>
      <c r="B392" s="1"/>
      <c r="C392" s="1"/>
      <c r="D392" s="1"/>
      <c r="E392" s="1"/>
      <c r="F392" s="1"/>
      <c r="G392" s="1"/>
      <c r="H392" s="1"/>
      <c r="I392" s="1"/>
    </row>
    <row r="393" spans="1:9" x14ac:dyDescent="0.25">
      <c r="A393" s="1"/>
      <c r="B393" s="1"/>
      <c r="C393" s="1"/>
      <c r="D393" s="1"/>
      <c r="E393" s="1"/>
      <c r="F393" s="1"/>
      <c r="G393" s="1"/>
      <c r="H393" s="1"/>
      <c r="I393" s="1"/>
    </row>
    <row r="394" spans="1:9" x14ac:dyDescent="0.25">
      <c r="A394" s="1"/>
      <c r="B394" s="1"/>
      <c r="C394" s="1"/>
      <c r="D394" s="1"/>
      <c r="E394" s="1"/>
      <c r="F394" s="1"/>
      <c r="G394" s="1"/>
      <c r="H394" s="1"/>
      <c r="I394" s="1"/>
    </row>
    <row r="395" spans="1:9" x14ac:dyDescent="0.25">
      <c r="A395" s="1"/>
      <c r="B395" s="1"/>
      <c r="C395" s="1"/>
      <c r="D395" s="1"/>
      <c r="E395" s="1"/>
      <c r="F395" s="1"/>
      <c r="G395" s="1"/>
      <c r="H395" s="1"/>
      <c r="I395" s="1"/>
    </row>
    <row r="396" spans="1:9" x14ac:dyDescent="0.25">
      <c r="A396" s="1"/>
      <c r="B396" s="1"/>
      <c r="C396" s="1"/>
      <c r="D396" s="1"/>
      <c r="E396" s="1"/>
      <c r="F396" s="1"/>
      <c r="G396" s="1"/>
      <c r="H396" s="1"/>
      <c r="I396" s="1"/>
    </row>
    <row r="397" spans="1:9" x14ac:dyDescent="0.25">
      <c r="A397" s="1"/>
      <c r="B397" s="1"/>
      <c r="C397" s="1"/>
      <c r="D397" s="1"/>
      <c r="E397" s="1"/>
      <c r="F397" s="1"/>
      <c r="G397" s="1"/>
      <c r="H397" s="1"/>
      <c r="I397" s="1"/>
    </row>
    <row r="398" spans="1:9" x14ac:dyDescent="0.25">
      <c r="A398" s="1"/>
      <c r="B398" s="1"/>
      <c r="C398" s="1"/>
      <c r="D398" s="1"/>
      <c r="E398" s="1"/>
      <c r="F398" s="1"/>
      <c r="G398" s="1"/>
      <c r="H398" s="1"/>
      <c r="I398" s="1"/>
    </row>
    <row r="399" spans="1:9" x14ac:dyDescent="0.25">
      <c r="A399" s="1"/>
      <c r="B399" s="1"/>
      <c r="C399" s="1"/>
      <c r="D399" s="1"/>
      <c r="E399" s="1"/>
      <c r="F399" s="1"/>
      <c r="G399" s="1"/>
      <c r="H399" s="1"/>
      <c r="I399" s="1"/>
    </row>
    <row r="400" spans="1:9" x14ac:dyDescent="0.25">
      <c r="A400" s="1"/>
      <c r="B400" s="1"/>
      <c r="C400" s="1"/>
      <c r="D400" s="1"/>
      <c r="E400" s="1"/>
      <c r="F400" s="1"/>
      <c r="G400" s="1"/>
      <c r="H400" s="1"/>
      <c r="I400" s="1"/>
    </row>
    <row r="401" spans="1:9" x14ac:dyDescent="0.25">
      <c r="A401" s="1"/>
      <c r="B401" s="1"/>
      <c r="C401" s="1"/>
      <c r="D401" s="1"/>
      <c r="E401" s="1"/>
      <c r="F401" s="1"/>
      <c r="G401" s="1"/>
      <c r="H401" s="1"/>
      <c r="I401" s="1"/>
    </row>
    <row r="402" spans="1:9" x14ac:dyDescent="0.25">
      <c r="A402" s="1"/>
      <c r="B402" s="1"/>
      <c r="C402" s="1"/>
      <c r="D402" s="1"/>
      <c r="E402" s="1"/>
      <c r="F402" s="1"/>
      <c r="G402" s="1"/>
      <c r="H402" s="1"/>
      <c r="I402" s="1"/>
    </row>
    <row r="403" spans="1:9" x14ac:dyDescent="0.25">
      <c r="A403" s="1"/>
      <c r="B403" s="1"/>
      <c r="C403" s="1"/>
      <c r="D403" s="1"/>
      <c r="E403" s="1"/>
      <c r="F403" s="1"/>
      <c r="G403" s="1"/>
      <c r="H403" s="1"/>
      <c r="I403" s="1"/>
    </row>
    <row r="404" spans="1:9" x14ac:dyDescent="0.25">
      <c r="A404" s="1"/>
      <c r="B404" s="1"/>
      <c r="C404" s="1"/>
      <c r="D404" s="1"/>
      <c r="E404" s="1"/>
      <c r="F404" s="1"/>
      <c r="G404" s="1"/>
      <c r="H404" s="1"/>
      <c r="I404" s="1"/>
    </row>
    <row r="405" spans="1:9" x14ac:dyDescent="0.25">
      <c r="A405" s="1"/>
      <c r="B405" s="1"/>
      <c r="C405" s="1"/>
      <c r="D405" s="1"/>
      <c r="E405" s="1"/>
      <c r="F405" s="1"/>
      <c r="G405" s="1"/>
      <c r="H405" s="1"/>
      <c r="I405" s="1"/>
    </row>
    <row r="406" spans="1:9" x14ac:dyDescent="0.25">
      <c r="A406" s="1"/>
      <c r="B406" s="1"/>
      <c r="C406" s="1"/>
      <c r="D406" s="1"/>
      <c r="E406" s="1"/>
      <c r="F406" s="1"/>
      <c r="G406" s="1"/>
      <c r="H406" s="1"/>
      <c r="I406" s="1"/>
    </row>
    <row r="407" spans="1:9" x14ac:dyDescent="0.25">
      <c r="A407" s="1"/>
      <c r="B407" s="1"/>
      <c r="C407" s="1"/>
      <c r="D407" s="1"/>
      <c r="E407" s="1"/>
      <c r="F407" s="1"/>
      <c r="G407" s="1"/>
      <c r="H407" s="1"/>
      <c r="I407" s="1"/>
    </row>
    <row r="408" spans="1:9" x14ac:dyDescent="0.25">
      <c r="A408" s="1"/>
      <c r="B408" s="1"/>
      <c r="C408" s="1"/>
      <c r="D408" s="1"/>
      <c r="E408" s="1"/>
      <c r="F408" s="1"/>
      <c r="G408" s="1"/>
      <c r="H408" s="1"/>
      <c r="I408" s="1"/>
    </row>
    <row r="409" spans="1:9" x14ac:dyDescent="0.25">
      <c r="A409" s="1"/>
      <c r="B409" s="1"/>
      <c r="C409" s="1"/>
      <c r="D409" s="1"/>
      <c r="E409" s="1"/>
      <c r="F409" s="1"/>
      <c r="G409" s="1"/>
      <c r="H409" s="1"/>
      <c r="I409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1A43-06A1-40D1-A6CE-763873B13DF7}">
  <sheetPr codeName="Planilha3"/>
  <dimension ref="A1:H210"/>
  <sheetViews>
    <sheetView zoomScale="152" workbookViewId="0">
      <selection activeCell="I11" sqref="I11"/>
    </sheetView>
  </sheetViews>
  <sheetFormatPr defaultRowHeight="15" x14ac:dyDescent="0.25"/>
  <cols>
    <col min="1" max="1" width="14.85546875" customWidth="1"/>
    <col min="2" max="2" width="16.28515625" style="19" customWidth="1"/>
    <col min="4" max="4" width="37.85546875" customWidth="1"/>
    <col min="7" max="7" width="15.28515625" customWidth="1"/>
    <col min="8" max="8" width="32.28515625" customWidth="1"/>
  </cols>
  <sheetData>
    <row r="1" spans="1:8" x14ac:dyDescent="0.25">
      <c r="A1" s="10" t="s">
        <v>125</v>
      </c>
      <c r="B1" s="20">
        <f>COUNTA(A:A)+1000-9</f>
        <v>1200</v>
      </c>
    </row>
    <row r="2" spans="1:8" x14ac:dyDescent="0.25">
      <c r="A2" s="10" t="s">
        <v>122</v>
      </c>
      <c r="B2" s="14">
        <f ca="1">TODAY()</f>
        <v>45910</v>
      </c>
    </row>
    <row r="3" spans="1:8" x14ac:dyDescent="0.25">
      <c r="A3" s="10" t="s">
        <v>123</v>
      </c>
      <c r="B3" s="21"/>
      <c r="F3" t="s">
        <v>120</v>
      </c>
    </row>
    <row r="4" spans="1:8" x14ac:dyDescent="0.25">
      <c r="A4" s="10" t="s">
        <v>112</v>
      </c>
      <c r="B4" s="20" t="e">
        <f>VLOOKUP(B3,Produtos!A31:I66,2,FALSE)</f>
        <v>#N/A</v>
      </c>
    </row>
    <row r="5" spans="1:8" x14ac:dyDescent="0.25">
      <c r="A5" s="10" t="s">
        <v>127</v>
      </c>
      <c r="B5" s="20" t="e">
        <f>VLOOKUP(B3,Produtos!A31:I66,3,FALSE)</f>
        <v>#N/A</v>
      </c>
      <c r="F5" t="s">
        <v>121</v>
      </c>
    </row>
    <row r="6" spans="1:8" x14ac:dyDescent="0.25">
      <c r="A6" s="10" t="s">
        <v>128</v>
      </c>
      <c r="B6" s="21"/>
    </row>
    <row r="7" spans="1:8" x14ac:dyDescent="0.25">
      <c r="A7" s="10" t="s">
        <v>129</v>
      </c>
      <c r="B7" s="22"/>
      <c r="F7" t="s">
        <v>134</v>
      </c>
    </row>
    <row r="8" spans="1:8" x14ac:dyDescent="0.25">
      <c r="A8" s="10" t="s">
        <v>130</v>
      </c>
      <c r="B8" s="20" t="e">
        <f>VLOOKUP(B7,Clientes!$A$1:$B$60,2,FALSE)</f>
        <v>#N/A</v>
      </c>
    </row>
    <row r="10" spans="1:8" x14ac:dyDescent="0.25">
      <c r="A10" s="10" t="s">
        <v>125</v>
      </c>
      <c r="B10" s="18" t="s">
        <v>122</v>
      </c>
      <c r="C10" s="10" t="s">
        <v>123</v>
      </c>
      <c r="D10" s="10" t="s">
        <v>112</v>
      </c>
      <c r="E10" s="10" t="s">
        <v>127</v>
      </c>
      <c r="F10" s="10" t="s">
        <v>128</v>
      </c>
      <c r="G10" s="10" t="s">
        <v>129</v>
      </c>
      <c r="H10" s="10" t="s">
        <v>130</v>
      </c>
    </row>
    <row r="11" spans="1:8" x14ac:dyDescent="0.25">
      <c r="A11" s="23">
        <v>1000</v>
      </c>
      <c r="B11" s="19">
        <v>45910</v>
      </c>
      <c r="C11" s="23">
        <v>1</v>
      </c>
      <c r="D11" s="23" t="s">
        <v>678</v>
      </c>
      <c r="E11" s="23" t="s">
        <v>137</v>
      </c>
      <c r="F11" s="23">
        <v>3</v>
      </c>
      <c r="G11" s="23">
        <v>3</v>
      </c>
      <c r="H11" s="23" t="s">
        <v>438</v>
      </c>
    </row>
    <row r="12" spans="1:8" x14ac:dyDescent="0.25">
      <c r="A12" s="23">
        <v>1001</v>
      </c>
      <c r="B12" s="19">
        <v>45910</v>
      </c>
      <c r="C12" s="23">
        <v>2</v>
      </c>
      <c r="D12" s="23" t="s">
        <v>679</v>
      </c>
      <c r="E12" s="23" t="s">
        <v>137</v>
      </c>
      <c r="F12" s="23">
        <v>1</v>
      </c>
      <c r="G12" s="23">
        <v>16</v>
      </c>
      <c r="H12" s="23" t="s">
        <v>507</v>
      </c>
    </row>
    <row r="13" spans="1:8" x14ac:dyDescent="0.25">
      <c r="A13" s="23">
        <v>1002</v>
      </c>
      <c r="B13" s="19">
        <v>45910</v>
      </c>
      <c r="C13" s="23">
        <v>3</v>
      </c>
      <c r="D13" s="23" t="s">
        <v>680</v>
      </c>
      <c r="E13" s="23" t="s">
        <v>137</v>
      </c>
      <c r="F13" s="23">
        <v>5</v>
      </c>
      <c r="G13" s="23">
        <v>30</v>
      </c>
      <c r="H13" s="23" t="s">
        <v>578</v>
      </c>
    </row>
    <row r="14" spans="1:8" x14ac:dyDescent="0.25">
      <c r="A14" s="23">
        <v>1003</v>
      </c>
      <c r="B14" s="19">
        <v>45910</v>
      </c>
      <c r="C14" s="23">
        <v>4</v>
      </c>
      <c r="D14" s="23" t="s">
        <v>681</v>
      </c>
      <c r="E14" s="23" t="s">
        <v>138</v>
      </c>
      <c r="F14" s="23">
        <v>2</v>
      </c>
      <c r="G14" s="23">
        <v>13</v>
      </c>
      <c r="H14" s="23" t="s">
        <v>492</v>
      </c>
    </row>
    <row r="15" spans="1:8" x14ac:dyDescent="0.25">
      <c r="A15" s="23">
        <v>1004</v>
      </c>
      <c r="B15" s="19">
        <v>45910</v>
      </c>
      <c r="C15" s="23">
        <v>5</v>
      </c>
      <c r="D15" s="23" t="s">
        <v>682</v>
      </c>
      <c r="E15" s="23" t="s">
        <v>138</v>
      </c>
      <c r="F15" s="23">
        <v>8</v>
      </c>
      <c r="G15" s="23">
        <v>32</v>
      </c>
      <c r="H15" s="23" t="s">
        <v>588</v>
      </c>
    </row>
    <row r="16" spans="1:8" x14ac:dyDescent="0.25">
      <c r="A16" s="23">
        <v>1005</v>
      </c>
      <c r="B16" s="19">
        <v>45910</v>
      </c>
      <c r="C16" s="23">
        <v>6</v>
      </c>
      <c r="D16" s="23" t="s">
        <v>683</v>
      </c>
      <c r="E16" s="23" t="s">
        <v>126</v>
      </c>
      <c r="F16" s="23">
        <v>3</v>
      </c>
      <c r="G16" s="23">
        <v>37</v>
      </c>
      <c r="H16" s="23" t="s">
        <v>612</v>
      </c>
    </row>
    <row r="17" spans="1:8" x14ac:dyDescent="0.25">
      <c r="A17" s="23">
        <v>1006</v>
      </c>
      <c r="B17" s="19">
        <v>45910</v>
      </c>
      <c r="C17" s="23">
        <v>7</v>
      </c>
      <c r="D17" s="23" t="s">
        <v>684</v>
      </c>
      <c r="E17" s="23" t="s">
        <v>136</v>
      </c>
      <c r="F17" s="23">
        <v>2</v>
      </c>
      <c r="G17" s="23">
        <v>50</v>
      </c>
      <c r="H17" s="23" t="s">
        <v>674</v>
      </c>
    </row>
    <row r="18" spans="1:8" x14ac:dyDescent="0.25">
      <c r="A18" s="23">
        <v>1007</v>
      </c>
      <c r="B18" s="19">
        <v>45910</v>
      </c>
      <c r="C18" s="23">
        <v>8</v>
      </c>
      <c r="D18" s="23" t="s">
        <v>685</v>
      </c>
      <c r="E18" s="23" t="s">
        <v>126</v>
      </c>
      <c r="F18" s="23">
        <v>10</v>
      </c>
      <c r="G18" s="23">
        <v>2</v>
      </c>
      <c r="H18" s="23" t="s">
        <v>432</v>
      </c>
    </row>
    <row r="19" spans="1:8" x14ac:dyDescent="0.25">
      <c r="A19" s="23">
        <v>1008</v>
      </c>
      <c r="B19" s="19">
        <v>45910</v>
      </c>
      <c r="C19" s="23">
        <v>9</v>
      </c>
      <c r="D19" s="23" t="s">
        <v>686</v>
      </c>
      <c r="E19" s="23" t="s">
        <v>138</v>
      </c>
      <c r="F19" s="23">
        <v>8</v>
      </c>
      <c r="G19" s="23">
        <v>46</v>
      </c>
      <c r="H19" s="23" t="s">
        <v>657</v>
      </c>
    </row>
    <row r="20" spans="1:8" x14ac:dyDescent="0.25">
      <c r="A20" s="23">
        <v>1009</v>
      </c>
      <c r="B20" s="19">
        <v>45910</v>
      </c>
      <c r="C20" s="23">
        <v>10</v>
      </c>
      <c r="D20" s="23" t="s">
        <v>680</v>
      </c>
      <c r="E20" s="23" t="s">
        <v>126</v>
      </c>
      <c r="F20" s="23">
        <v>4</v>
      </c>
      <c r="G20" s="23">
        <v>8</v>
      </c>
      <c r="H20" s="23" t="s">
        <v>466</v>
      </c>
    </row>
    <row r="21" spans="1:8" x14ac:dyDescent="0.25">
      <c r="A21" s="23">
        <v>1010</v>
      </c>
      <c r="B21" s="19">
        <v>45910</v>
      </c>
      <c r="C21" s="23">
        <v>11</v>
      </c>
      <c r="D21" s="23" t="s">
        <v>686</v>
      </c>
      <c r="E21" s="23" t="s">
        <v>136</v>
      </c>
      <c r="F21" s="23">
        <v>7</v>
      </c>
      <c r="G21" s="23">
        <v>7</v>
      </c>
      <c r="H21" s="23" t="s">
        <v>461</v>
      </c>
    </row>
    <row r="22" spans="1:8" x14ac:dyDescent="0.25">
      <c r="A22" s="23">
        <v>1011</v>
      </c>
      <c r="B22" s="19">
        <v>45910</v>
      </c>
      <c r="C22" s="23">
        <v>12</v>
      </c>
      <c r="D22" s="23" t="s">
        <v>680</v>
      </c>
      <c r="E22" s="23" t="s">
        <v>126</v>
      </c>
      <c r="F22" s="23">
        <v>6</v>
      </c>
      <c r="G22" s="23">
        <v>38</v>
      </c>
      <c r="H22" s="23" t="s">
        <v>617</v>
      </c>
    </row>
    <row r="23" spans="1:8" x14ac:dyDescent="0.25">
      <c r="A23" s="23">
        <v>1012</v>
      </c>
      <c r="B23" s="19">
        <v>45910</v>
      </c>
      <c r="C23" s="23">
        <v>13</v>
      </c>
      <c r="D23" s="23" t="s">
        <v>679</v>
      </c>
      <c r="E23" s="23" t="s">
        <v>126</v>
      </c>
      <c r="F23" s="23">
        <v>6</v>
      </c>
      <c r="G23" s="23">
        <v>27</v>
      </c>
      <c r="H23" s="23" t="s">
        <v>562</v>
      </c>
    </row>
    <row r="24" spans="1:8" x14ac:dyDescent="0.25">
      <c r="A24" s="23">
        <v>1013</v>
      </c>
      <c r="B24" s="19">
        <v>45910</v>
      </c>
      <c r="C24" s="23">
        <v>14</v>
      </c>
      <c r="D24" s="23" t="s">
        <v>687</v>
      </c>
      <c r="E24" s="23" t="s">
        <v>126</v>
      </c>
      <c r="F24" s="23">
        <v>8</v>
      </c>
      <c r="G24" s="23">
        <v>11</v>
      </c>
      <c r="H24" s="23" t="s">
        <v>481</v>
      </c>
    </row>
    <row r="25" spans="1:8" x14ac:dyDescent="0.25">
      <c r="A25" s="23">
        <v>1014</v>
      </c>
      <c r="B25" s="19">
        <v>45910</v>
      </c>
      <c r="C25" s="23">
        <v>15</v>
      </c>
      <c r="D25" s="23" t="s">
        <v>688</v>
      </c>
      <c r="E25" s="23" t="s">
        <v>137</v>
      </c>
      <c r="F25" s="23">
        <v>2</v>
      </c>
      <c r="G25" s="23">
        <v>43</v>
      </c>
      <c r="H25" s="23" t="s">
        <v>642</v>
      </c>
    </row>
    <row r="26" spans="1:8" x14ac:dyDescent="0.25">
      <c r="A26" s="23">
        <v>1015</v>
      </c>
      <c r="B26" s="19">
        <v>45910</v>
      </c>
      <c r="C26" s="23">
        <v>16</v>
      </c>
      <c r="D26" s="23" t="s">
        <v>686</v>
      </c>
      <c r="E26" s="23" t="s">
        <v>137</v>
      </c>
      <c r="F26" s="23">
        <v>7</v>
      </c>
      <c r="G26" s="23">
        <v>5</v>
      </c>
      <c r="H26" s="23" t="s">
        <v>450</v>
      </c>
    </row>
    <row r="27" spans="1:8" x14ac:dyDescent="0.25">
      <c r="A27" s="23">
        <v>1016</v>
      </c>
      <c r="B27" s="19">
        <v>45910</v>
      </c>
      <c r="C27" s="23">
        <v>17</v>
      </c>
      <c r="D27" s="23" t="s">
        <v>679</v>
      </c>
      <c r="E27" s="23" t="s">
        <v>136</v>
      </c>
      <c r="F27" s="23">
        <v>1</v>
      </c>
      <c r="G27" s="23">
        <v>18</v>
      </c>
      <c r="H27" s="23" t="s">
        <v>517</v>
      </c>
    </row>
    <row r="28" spans="1:8" x14ac:dyDescent="0.25">
      <c r="A28" s="23">
        <v>1017</v>
      </c>
      <c r="B28" s="19">
        <v>45910</v>
      </c>
      <c r="C28" s="23">
        <v>18</v>
      </c>
      <c r="D28" s="23" t="s">
        <v>678</v>
      </c>
      <c r="E28" s="23" t="s">
        <v>136</v>
      </c>
      <c r="F28" s="23">
        <v>1</v>
      </c>
      <c r="G28" s="23">
        <v>49</v>
      </c>
      <c r="H28" s="23" t="s">
        <v>670</v>
      </c>
    </row>
    <row r="29" spans="1:8" x14ac:dyDescent="0.25">
      <c r="A29" s="23">
        <v>1018</v>
      </c>
      <c r="B29" s="19">
        <v>45910</v>
      </c>
      <c r="C29" s="23">
        <v>19</v>
      </c>
      <c r="D29" s="23" t="s">
        <v>688</v>
      </c>
      <c r="E29" s="23" t="s">
        <v>126</v>
      </c>
      <c r="F29" s="23">
        <v>8</v>
      </c>
      <c r="G29" s="23">
        <v>6</v>
      </c>
      <c r="H29" s="23" t="s">
        <v>456</v>
      </c>
    </row>
    <row r="30" spans="1:8" x14ac:dyDescent="0.25">
      <c r="A30" s="23">
        <v>1019</v>
      </c>
      <c r="B30" s="19">
        <v>45910</v>
      </c>
      <c r="C30" s="23">
        <v>20</v>
      </c>
      <c r="D30" s="23" t="s">
        <v>689</v>
      </c>
      <c r="E30" s="23" t="s">
        <v>137</v>
      </c>
      <c r="F30" s="23">
        <v>7</v>
      </c>
      <c r="G30" s="23">
        <v>6</v>
      </c>
      <c r="H30" s="23" t="s">
        <v>456</v>
      </c>
    </row>
    <row r="31" spans="1:8" x14ac:dyDescent="0.25">
      <c r="A31" s="23">
        <v>1020</v>
      </c>
      <c r="B31" s="19">
        <v>45910</v>
      </c>
      <c r="C31" s="23">
        <v>21</v>
      </c>
      <c r="D31" s="23" t="s">
        <v>690</v>
      </c>
      <c r="E31" s="23" t="s">
        <v>137</v>
      </c>
      <c r="F31" s="23">
        <v>10</v>
      </c>
      <c r="G31" s="23">
        <v>26</v>
      </c>
      <c r="H31" s="23" t="s">
        <v>557</v>
      </c>
    </row>
    <row r="32" spans="1:8" x14ac:dyDescent="0.25">
      <c r="A32" s="23">
        <v>1021</v>
      </c>
      <c r="B32" s="19">
        <v>45910</v>
      </c>
      <c r="C32" s="23">
        <v>22</v>
      </c>
      <c r="D32" s="23" t="s">
        <v>691</v>
      </c>
      <c r="E32" s="23" t="s">
        <v>126</v>
      </c>
      <c r="F32" s="23">
        <v>4</v>
      </c>
      <c r="G32" s="23">
        <v>26</v>
      </c>
      <c r="H32" s="23" t="s">
        <v>557</v>
      </c>
    </row>
    <row r="33" spans="1:8" x14ac:dyDescent="0.25">
      <c r="A33" s="23">
        <v>1022</v>
      </c>
      <c r="B33" s="19">
        <v>45932</v>
      </c>
      <c r="C33" s="23">
        <v>23</v>
      </c>
      <c r="D33" s="23" t="s">
        <v>681</v>
      </c>
      <c r="E33" s="23" t="s">
        <v>137</v>
      </c>
      <c r="F33" s="23">
        <v>9</v>
      </c>
      <c r="G33" s="23">
        <v>7</v>
      </c>
      <c r="H33" s="23" t="s">
        <v>461</v>
      </c>
    </row>
    <row r="34" spans="1:8" x14ac:dyDescent="0.25">
      <c r="A34" s="23">
        <v>1023</v>
      </c>
      <c r="B34" s="19">
        <v>45933</v>
      </c>
      <c r="C34" s="23">
        <v>24</v>
      </c>
      <c r="D34" s="23" t="s">
        <v>687</v>
      </c>
      <c r="E34" s="23" t="s">
        <v>137</v>
      </c>
      <c r="F34" s="23">
        <v>1</v>
      </c>
      <c r="G34" s="23">
        <v>34</v>
      </c>
      <c r="H34" s="23" t="s">
        <v>598</v>
      </c>
    </row>
    <row r="35" spans="1:8" x14ac:dyDescent="0.25">
      <c r="A35" s="23">
        <v>1024</v>
      </c>
      <c r="B35" s="19">
        <v>45934</v>
      </c>
      <c r="C35" s="23">
        <v>25</v>
      </c>
      <c r="D35" s="23" t="s">
        <v>692</v>
      </c>
      <c r="E35" s="23" t="s">
        <v>138</v>
      </c>
      <c r="F35" s="23">
        <v>4</v>
      </c>
      <c r="G35" s="23">
        <v>24</v>
      </c>
      <c r="H35" s="23" t="s">
        <v>546</v>
      </c>
    </row>
    <row r="36" spans="1:8" x14ac:dyDescent="0.25">
      <c r="A36" s="23">
        <v>1025</v>
      </c>
      <c r="B36" s="19">
        <v>45935</v>
      </c>
      <c r="C36" s="23">
        <v>26</v>
      </c>
      <c r="D36" s="23" t="s">
        <v>691</v>
      </c>
      <c r="E36" s="23" t="s">
        <v>137</v>
      </c>
      <c r="F36" s="23">
        <v>3</v>
      </c>
      <c r="G36" s="23">
        <v>42</v>
      </c>
      <c r="H36" s="23" t="s">
        <v>637</v>
      </c>
    </row>
    <row r="37" spans="1:8" x14ac:dyDescent="0.25">
      <c r="A37" s="23">
        <v>1026</v>
      </c>
      <c r="B37" s="19">
        <v>45936</v>
      </c>
      <c r="C37" s="23">
        <v>27</v>
      </c>
      <c r="D37" s="23" t="s">
        <v>681</v>
      </c>
      <c r="E37" s="23" t="s">
        <v>136</v>
      </c>
      <c r="F37" s="23">
        <v>7</v>
      </c>
      <c r="G37" s="23">
        <v>3</v>
      </c>
      <c r="H37" s="23" t="s">
        <v>438</v>
      </c>
    </row>
    <row r="38" spans="1:8" x14ac:dyDescent="0.25">
      <c r="A38" s="23">
        <v>1027</v>
      </c>
      <c r="B38" s="19">
        <v>45937</v>
      </c>
      <c r="C38" s="23">
        <v>28</v>
      </c>
      <c r="D38" s="23" t="s">
        <v>679</v>
      </c>
      <c r="E38" s="23" t="s">
        <v>138</v>
      </c>
      <c r="F38" s="23">
        <v>3</v>
      </c>
      <c r="G38" s="23">
        <v>40</v>
      </c>
      <c r="H38" s="23" t="s">
        <v>627</v>
      </c>
    </row>
    <row r="39" spans="1:8" x14ac:dyDescent="0.25">
      <c r="A39" s="23">
        <v>1028</v>
      </c>
      <c r="B39" s="19">
        <v>45938</v>
      </c>
      <c r="C39" s="23">
        <v>29</v>
      </c>
      <c r="D39" s="23" t="s">
        <v>693</v>
      </c>
      <c r="E39" s="23" t="s">
        <v>138</v>
      </c>
      <c r="F39" s="23">
        <v>3</v>
      </c>
      <c r="G39" s="23">
        <v>13</v>
      </c>
      <c r="H39" s="23" t="s">
        <v>492</v>
      </c>
    </row>
    <row r="40" spans="1:8" x14ac:dyDescent="0.25">
      <c r="A40" s="23">
        <v>1029</v>
      </c>
      <c r="B40" s="19">
        <v>45939</v>
      </c>
      <c r="C40" s="23">
        <v>30</v>
      </c>
      <c r="D40" s="23" t="s">
        <v>689</v>
      </c>
      <c r="E40" s="23" t="s">
        <v>136</v>
      </c>
      <c r="F40" s="23">
        <v>8</v>
      </c>
      <c r="G40" s="23">
        <v>40</v>
      </c>
      <c r="H40" s="23" t="s">
        <v>627</v>
      </c>
    </row>
    <row r="41" spans="1:8" x14ac:dyDescent="0.25">
      <c r="A41" s="23">
        <v>1030</v>
      </c>
      <c r="B41" s="19">
        <v>45940</v>
      </c>
      <c r="C41" s="23">
        <v>31</v>
      </c>
      <c r="D41" s="23" t="s">
        <v>687</v>
      </c>
      <c r="E41" s="23" t="s">
        <v>136</v>
      </c>
      <c r="F41" s="23">
        <v>6</v>
      </c>
      <c r="G41" s="23">
        <v>24</v>
      </c>
      <c r="H41" s="23" t="s">
        <v>546</v>
      </c>
    </row>
    <row r="42" spans="1:8" x14ac:dyDescent="0.25">
      <c r="A42" s="23">
        <v>1031</v>
      </c>
      <c r="B42" s="19">
        <v>45941</v>
      </c>
      <c r="C42" s="23">
        <v>32</v>
      </c>
      <c r="D42" s="23" t="s">
        <v>682</v>
      </c>
      <c r="E42" s="23" t="s">
        <v>136</v>
      </c>
      <c r="F42" s="23">
        <v>7</v>
      </c>
      <c r="G42" s="23">
        <v>49</v>
      </c>
      <c r="H42" s="23" t="s">
        <v>670</v>
      </c>
    </row>
    <row r="43" spans="1:8" x14ac:dyDescent="0.25">
      <c r="A43" s="23">
        <v>1032</v>
      </c>
      <c r="B43" s="19">
        <v>45942</v>
      </c>
      <c r="C43" s="23">
        <v>33</v>
      </c>
      <c r="D43" s="23" t="s">
        <v>694</v>
      </c>
      <c r="E43" s="23" t="s">
        <v>138</v>
      </c>
      <c r="F43" s="23">
        <v>2</v>
      </c>
      <c r="G43" s="23">
        <v>40</v>
      </c>
      <c r="H43" s="23" t="s">
        <v>627</v>
      </c>
    </row>
    <row r="44" spans="1:8" x14ac:dyDescent="0.25">
      <c r="A44" s="23">
        <v>1033</v>
      </c>
      <c r="B44" s="19">
        <v>45943</v>
      </c>
      <c r="C44" s="23">
        <v>34</v>
      </c>
      <c r="D44" s="23" t="s">
        <v>695</v>
      </c>
      <c r="E44" s="23" t="s">
        <v>126</v>
      </c>
      <c r="F44" s="23">
        <v>6</v>
      </c>
      <c r="G44" s="23">
        <v>47</v>
      </c>
      <c r="H44" s="23" t="s">
        <v>661</v>
      </c>
    </row>
    <row r="45" spans="1:8" x14ac:dyDescent="0.25">
      <c r="A45" s="23">
        <v>1034</v>
      </c>
      <c r="B45" s="19">
        <v>45944</v>
      </c>
      <c r="C45" s="23">
        <v>35</v>
      </c>
      <c r="D45" s="23" t="s">
        <v>696</v>
      </c>
      <c r="E45" s="23" t="s">
        <v>137</v>
      </c>
      <c r="F45" s="23">
        <v>7</v>
      </c>
      <c r="G45" s="23">
        <v>41</v>
      </c>
      <c r="H45" s="23" t="s">
        <v>632</v>
      </c>
    </row>
    <row r="46" spans="1:8" x14ac:dyDescent="0.25">
      <c r="A46" s="23">
        <v>1035</v>
      </c>
      <c r="B46" s="19">
        <v>45945</v>
      </c>
      <c r="C46" s="23">
        <v>36</v>
      </c>
      <c r="D46" s="23" t="s">
        <v>693</v>
      </c>
      <c r="E46" s="23" t="s">
        <v>137</v>
      </c>
      <c r="F46" s="23">
        <v>9</v>
      </c>
      <c r="G46" s="23">
        <v>23</v>
      </c>
      <c r="H46" s="23" t="s">
        <v>540</v>
      </c>
    </row>
    <row r="47" spans="1:8" x14ac:dyDescent="0.25">
      <c r="A47" s="23">
        <v>1036</v>
      </c>
      <c r="B47" s="19">
        <v>45946</v>
      </c>
      <c r="C47" s="23">
        <v>37</v>
      </c>
      <c r="D47" s="23" t="s">
        <v>685</v>
      </c>
      <c r="E47" s="23" t="s">
        <v>137</v>
      </c>
      <c r="F47" s="23">
        <v>3</v>
      </c>
      <c r="G47" s="23">
        <v>6</v>
      </c>
      <c r="H47" s="23" t="s">
        <v>456</v>
      </c>
    </row>
    <row r="48" spans="1:8" x14ac:dyDescent="0.25">
      <c r="A48" s="23">
        <v>1037</v>
      </c>
      <c r="B48" s="19">
        <v>45947</v>
      </c>
      <c r="C48" s="23">
        <v>38</v>
      </c>
      <c r="D48" s="23" t="s">
        <v>682</v>
      </c>
      <c r="E48" s="23" t="s">
        <v>138</v>
      </c>
      <c r="F48" s="23">
        <v>5</v>
      </c>
      <c r="G48" s="23">
        <v>2</v>
      </c>
      <c r="H48" s="23" t="s">
        <v>432</v>
      </c>
    </row>
    <row r="49" spans="1:8" x14ac:dyDescent="0.25">
      <c r="A49" s="23">
        <v>1038</v>
      </c>
      <c r="B49" s="19">
        <v>45948</v>
      </c>
      <c r="C49" s="23">
        <v>39</v>
      </c>
      <c r="D49" s="23" t="s">
        <v>693</v>
      </c>
      <c r="E49" s="23" t="s">
        <v>137</v>
      </c>
      <c r="F49" s="23">
        <v>5</v>
      </c>
      <c r="G49" s="23">
        <v>48</v>
      </c>
      <c r="H49" s="23" t="s">
        <v>666</v>
      </c>
    </row>
    <row r="50" spans="1:8" x14ac:dyDescent="0.25">
      <c r="A50" s="23">
        <v>1039</v>
      </c>
      <c r="B50" s="19">
        <v>45949</v>
      </c>
      <c r="C50" s="23">
        <v>40</v>
      </c>
      <c r="D50" s="23" t="s">
        <v>679</v>
      </c>
      <c r="E50" s="23" t="s">
        <v>138</v>
      </c>
      <c r="F50" s="23">
        <v>5</v>
      </c>
      <c r="G50" s="23">
        <v>46</v>
      </c>
      <c r="H50" s="23" t="s">
        <v>657</v>
      </c>
    </row>
    <row r="51" spans="1:8" x14ac:dyDescent="0.25">
      <c r="A51" s="23">
        <v>1040</v>
      </c>
      <c r="B51" s="19">
        <v>45950</v>
      </c>
      <c r="C51" s="23">
        <v>41</v>
      </c>
      <c r="D51" s="23" t="s">
        <v>690</v>
      </c>
      <c r="E51" s="23" t="s">
        <v>136</v>
      </c>
      <c r="F51" s="23">
        <v>5</v>
      </c>
      <c r="G51" s="23">
        <v>48</v>
      </c>
      <c r="H51" s="23" t="s">
        <v>666</v>
      </c>
    </row>
    <row r="52" spans="1:8" x14ac:dyDescent="0.25">
      <c r="A52" s="23">
        <v>1041</v>
      </c>
      <c r="B52" s="19">
        <v>45951</v>
      </c>
      <c r="C52" s="23">
        <v>42</v>
      </c>
      <c r="D52" s="23" t="s">
        <v>693</v>
      </c>
      <c r="E52" s="23" t="s">
        <v>136</v>
      </c>
      <c r="F52" s="23">
        <v>2</v>
      </c>
      <c r="G52" s="23">
        <v>43</v>
      </c>
      <c r="H52" s="23" t="s">
        <v>642</v>
      </c>
    </row>
    <row r="53" spans="1:8" x14ac:dyDescent="0.25">
      <c r="A53" s="23">
        <v>1042</v>
      </c>
      <c r="B53" s="19">
        <v>45952</v>
      </c>
      <c r="C53" s="23">
        <v>43</v>
      </c>
      <c r="D53" s="23" t="s">
        <v>693</v>
      </c>
      <c r="E53" s="23" t="s">
        <v>126</v>
      </c>
      <c r="F53" s="23">
        <v>5</v>
      </c>
      <c r="G53" s="23">
        <v>3</v>
      </c>
      <c r="H53" s="23" t="s">
        <v>438</v>
      </c>
    </row>
    <row r="54" spans="1:8" x14ac:dyDescent="0.25">
      <c r="A54" s="23">
        <v>1043</v>
      </c>
      <c r="B54" s="19">
        <v>45953</v>
      </c>
      <c r="C54" s="23">
        <v>44</v>
      </c>
      <c r="D54" s="23" t="s">
        <v>690</v>
      </c>
      <c r="E54" s="23" t="s">
        <v>126</v>
      </c>
      <c r="F54" s="23">
        <v>1</v>
      </c>
      <c r="G54" s="23">
        <v>36</v>
      </c>
      <c r="H54" s="23" t="s">
        <v>607</v>
      </c>
    </row>
    <row r="55" spans="1:8" x14ac:dyDescent="0.25">
      <c r="A55" s="23">
        <v>1044</v>
      </c>
      <c r="B55" s="19">
        <v>45954</v>
      </c>
      <c r="C55" s="23">
        <v>45</v>
      </c>
      <c r="D55" s="23" t="s">
        <v>688</v>
      </c>
      <c r="E55" s="23" t="s">
        <v>138</v>
      </c>
      <c r="F55" s="23">
        <v>7</v>
      </c>
      <c r="G55" s="23">
        <v>25</v>
      </c>
      <c r="H55" s="23" t="s">
        <v>552</v>
      </c>
    </row>
    <row r="56" spans="1:8" x14ac:dyDescent="0.25">
      <c r="A56" s="23">
        <v>1045</v>
      </c>
      <c r="B56" s="19">
        <v>45955</v>
      </c>
      <c r="C56" s="23">
        <v>46</v>
      </c>
      <c r="D56" s="23" t="s">
        <v>684</v>
      </c>
      <c r="E56" s="23" t="s">
        <v>138</v>
      </c>
      <c r="F56" s="23">
        <v>7</v>
      </c>
      <c r="G56" s="23">
        <v>46</v>
      </c>
      <c r="H56" s="23" t="s">
        <v>657</v>
      </c>
    </row>
    <row r="57" spans="1:8" x14ac:dyDescent="0.25">
      <c r="A57" s="23">
        <v>1046</v>
      </c>
      <c r="B57" s="19">
        <v>45956</v>
      </c>
      <c r="C57" s="23">
        <v>47</v>
      </c>
      <c r="D57" s="23" t="s">
        <v>680</v>
      </c>
      <c r="E57" s="23" t="s">
        <v>138</v>
      </c>
      <c r="F57" s="23">
        <v>10</v>
      </c>
      <c r="G57" s="23">
        <v>32</v>
      </c>
      <c r="H57" s="23" t="s">
        <v>588</v>
      </c>
    </row>
    <row r="58" spans="1:8" x14ac:dyDescent="0.25">
      <c r="A58" s="23">
        <v>1047</v>
      </c>
      <c r="B58" s="19">
        <v>45957</v>
      </c>
      <c r="C58" s="23">
        <v>48</v>
      </c>
      <c r="D58" s="23" t="s">
        <v>693</v>
      </c>
      <c r="E58" s="23" t="s">
        <v>138</v>
      </c>
      <c r="F58" s="23">
        <v>8</v>
      </c>
      <c r="G58" s="23">
        <v>29</v>
      </c>
      <c r="H58" s="23" t="s">
        <v>573</v>
      </c>
    </row>
    <row r="59" spans="1:8" x14ac:dyDescent="0.25">
      <c r="A59" s="23">
        <v>1048</v>
      </c>
      <c r="B59" s="19">
        <v>45958</v>
      </c>
      <c r="C59" s="23">
        <v>49</v>
      </c>
      <c r="D59" s="23" t="s">
        <v>691</v>
      </c>
      <c r="E59" s="23" t="s">
        <v>137</v>
      </c>
      <c r="F59" s="23">
        <v>5</v>
      </c>
      <c r="G59" s="23">
        <v>3</v>
      </c>
      <c r="H59" s="23" t="s">
        <v>438</v>
      </c>
    </row>
    <row r="60" spans="1:8" x14ac:dyDescent="0.25">
      <c r="A60" s="23">
        <v>1049</v>
      </c>
      <c r="B60" s="19">
        <v>45959</v>
      </c>
      <c r="C60" s="23">
        <v>50</v>
      </c>
      <c r="D60" s="23" t="s">
        <v>697</v>
      </c>
      <c r="E60" s="23" t="s">
        <v>136</v>
      </c>
      <c r="F60" s="23">
        <v>7</v>
      </c>
      <c r="G60" s="23">
        <v>21</v>
      </c>
      <c r="H60" s="23" t="s">
        <v>530</v>
      </c>
    </row>
    <row r="61" spans="1:8" x14ac:dyDescent="0.25">
      <c r="A61" s="23">
        <v>1050</v>
      </c>
      <c r="B61" s="19">
        <v>45960</v>
      </c>
      <c r="C61" s="23">
        <v>51</v>
      </c>
      <c r="D61" s="23" t="s">
        <v>691</v>
      </c>
      <c r="E61" s="23" t="s">
        <v>137</v>
      </c>
      <c r="F61" s="23">
        <v>9</v>
      </c>
      <c r="G61" s="23">
        <v>28</v>
      </c>
      <c r="H61" s="23" t="s">
        <v>567</v>
      </c>
    </row>
    <row r="62" spans="1:8" x14ac:dyDescent="0.25">
      <c r="A62" s="23">
        <v>1051</v>
      </c>
      <c r="B62" s="19">
        <v>45961</v>
      </c>
      <c r="C62" s="23">
        <v>52</v>
      </c>
      <c r="D62" s="23" t="s">
        <v>687</v>
      </c>
      <c r="E62" s="23" t="s">
        <v>137</v>
      </c>
      <c r="F62" s="23">
        <v>8</v>
      </c>
      <c r="G62" s="23">
        <v>8</v>
      </c>
      <c r="H62" s="23" t="s">
        <v>466</v>
      </c>
    </row>
    <row r="63" spans="1:8" x14ac:dyDescent="0.25">
      <c r="A63" s="23">
        <v>1052</v>
      </c>
      <c r="B63" s="19">
        <v>45962</v>
      </c>
      <c r="C63" s="23">
        <v>53</v>
      </c>
      <c r="D63" s="23" t="s">
        <v>682</v>
      </c>
      <c r="E63" s="23" t="s">
        <v>137</v>
      </c>
      <c r="F63" s="23">
        <v>5</v>
      </c>
      <c r="G63" s="23">
        <v>38</v>
      </c>
      <c r="H63" s="23" t="s">
        <v>617</v>
      </c>
    </row>
    <row r="64" spans="1:8" x14ac:dyDescent="0.25">
      <c r="A64" s="23">
        <v>1053</v>
      </c>
      <c r="B64" s="19">
        <v>45963</v>
      </c>
      <c r="C64" s="23">
        <v>54</v>
      </c>
      <c r="D64" s="23" t="s">
        <v>686</v>
      </c>
      <c r="E64" s="23" t="s">
        <v>126</v>
      </c>
      <c r="F64" s="23">
        <v>2</v>
      </c>
      <c r="G64" s="23">
        <v>37</v>
      </c>
      <c r="H64" s="23" t="s">
        <v>612</v>
      </c>
    </row>
    <row r="65" spans="1:8" x14ac:dyDescent="0.25">
      <c r="A65" s="23">
        <v>1054</v>
      </c>
      <c r="B65" s="19">
        <v>45964</v>
      </c>
      <c r="C65" s="23">
        <v>55</v>
      </c>
      <c r="D65" s="23" t="s">
        <v>695</v>
      </c>
      <c r="E65" s="23" t="s">
        <v>136</v>
      </c>
      <c r="F65" s="23">
        <v>9</v>
      </c>
      <c r="G65" s="23">
        <v>1</v>
      </c>
      <c r="H65" s="23" t="s">
        <v>426</v>
      </c>
    </row>
    <row r="66" spans="1:8" x14ac:dyDescent="0.25">
      <c r="A66" s="23">
        <v>1055</v>
      </c>
      <c r="B66" s="19">
        <v>45965</v>
      </c>
      <c r="C66" s="23">
        <v>56</v>
      </c>
      <c r="D66" s="23" t="s">
        <v>686</v>
      </c>
      <c r="E66" s="23" t="s">
        <v>126</v>
      </c>
      <c r="F66" s="23">
        <v>3</v>
      </c>
      <c r="G66" s="23">
        <v>7</v>
      </c>
      <c r="H66" s="23" t="s">
        <v>461</v>
      </c>
    </row>
    <row r="67" spans="1:8" x14ac:dyDescent="0.25">
      <c r="A67" s="23">
        <v>1056</v>
      </c>
      <c r="B67" s="19">
        <v>45966</v>
      </c>
      <c r="C67" s="23">
        <v>57</v>
      </c>
      <c r="D67" s="23" t="s">
        <v>690</v>
      </c>
      <c r="E67" s="23" t="s">
        <v>138</v>
      </c>
      <c r="F67" s="23">
        <v>10</v>
      </c>
      <c r="G67" s="23">
        <v>39</v>
      </c>
      <c r="H67" s="23" t="s">
        <v>622</v>
      </c>
    </row>
    <row r="68" spans="1:8" x14ac:dyDescent="0.25">
      <c r="A68" s="23">
        <v>1057</v>
      </c>
      <c r="B68" s="19">
        <v>45967</v>
      </c>
      <c r="C68" s="23">
        <v>58</v>
      </c>
      <c r="D68" s="23" t="s">
        <v>684</v>
      </c>
      <c r="E68" s="23" t="s">
        <v>136</v>
      </c>
      <c r="F68" s="23">
        <v>8</v>
      </c>
      <c r="G68" s="23">
        <v>19</v>
      </c>
      <c r="H68" s="23" t="s">
        <v>522</v>
      </c>
    </row>
    <row r="69" spans="1:8" x14ac:dyDescent="0.25">
      <c r="A69" s="23">
        <v>1058</v>
      </c>
      <c r="B69" s="19">
        <v>45968</v>
      </c>
      <c r="C69" s="23">
        <v>59</v>
      </c>
      <c r="D69" s="23" t="s">
        <v>686</v>
      </c>
      <c r="E69" s="23" t="s">
        <v>138</v>
      </c>
      <c r="F69" s="23">
        <v>8</v>
      </c>
      <c r="G69" s="23">
        <v>39</v>
      </c>
      <c r="H69" s="23" t="s">
        <v>622</v>
      </c>
    </row>
    <row r="70" spans="1:8" x14ac:dyDescent="0.25">
      <c r="A70" s="23">
        <v>1059</v>
      </c>
      <c r="B70" s="19">
        <v>45969</v>
      </c>
      <c r="C70" s="23">
        <v>60</v>
      </c>
      <c r="D70" s="23" t="s">
        <v>694</v>
      </c>
      <c r="E70" s="23" t="s">
        <v>136</v>
      </c>
      <c r="F70" s="23">
        <v>5</v>
      </c>
      <c r="G70" s="23">
        <v>31</v>
      </c>
      <c r="H70" s="23" t="s">
        <v>583</v>
      </c>
    </row>
    <row r="71" spans="1:8" x14ac:dyDescent="0.25">
      <c r="A71" s="23">
        <v>1060</v>
      </c>
      <c r="B71" s="19">
        <v>45970</v>
      </c>
      <c r="C71" s="23">
        <v>61</v>
      </c>
      <c r="D71" s="23" t="s">
        <v>694</v>
      </c>
      <c r="E71" s="23" t="s">
        <v>137</v>
      </c>
      <c r="F71" s="23">
        <v>9</v>
      </c>
      <c r="G71" s="23">
        <v>29</v>
      </c>
      <c r="H71" s="23" t="s">
        <v>573</v>
      </c>
    </row>
    <row r="72" spans="1:8" x14ac:dyDescent="0.25">
      <c r="A72" s="23">
        <v>1061</v>
      </c>
      <c r="B72" s="19">
        <v>45971</v>
      </c>
      <c r="C72" s="23">
        <v>62</v>
      </c>
      <c r="D72" s="23" t="s">
        <v>697</v>
      </c>
      <c r="E72" s="23" t="s">
        <v>137</v>
      </c>
      <c r="F72" s="23">
        <v>9</v>
      </c>
      <c r="G72" s="23">
        <v>32</v>
      </c>
      <c r="H72" s="23" t="s">
        <v>588</v>
      </c>
    </row>
    <row r="73" spans="1:8" x14ac:dyDescent="0.25">
      <c r="A73" s="23">
        <v>1062</v>
      </c>
      <c r="B73" s="19">
        <v>45972</v>
      </c>
      <c r="C73" s="23">
        <v>63</v>
      </c>
      <c r="D73" s="23" t="s">
        <v>682</v>
      </c>
      <c r="E73" s="23" t="s">
        <v>136</v>
      </c>
      <c r="F73" s="23">
        <v>9</v>
      </c>
      <c r="G73" s="23">
        <v>38</v>
      </c>
      <c r="H73" s="23" t="s">
        <v>617</v>
      </c>
    </row>
    <row r="74" spans="1:8" x14ac:dyDescent="0.25">
      <c r="A74" s="23">
        <v>1063</v>
      </c>
      <c r="B74" s="19">
        <v>45973</v>
      </c>
      <c r="C74" s="23">
        <v>64</v>
      </c>
      <c r="D74" s="23" t="s">
        <v>697</v>
      </c>
      <c r="E74" s="23" t="s">
        <v>137</v>
      </c>
      <c r="F74" s="23">
        <v>7</v>
      </c>
      <c r="G74" s="23">
        <v>11</v>
      </c>
      <c r="H74" s="23" t="s">
        <v>481</v>
      </c>
    </row>
    <row r="75" spans="1:8" x14ac:dyDescent="0.25">
      <c r="A75" s="23">
        <v>1064</v>
      </c>
      <c r="B75" s="19">
        <v>45974</v>
      </c>
      <c r="C75" s="23">
        <v>65</v>
      </c>
      <c r="D75" s="23" t="s">
        <v>678</v>
      </c>
      <c r="E75" s="23" t="s">
        <v>138</v>
      </c>
      <c r="F75" s="23">
        <v>9</v>
      </c>
      <c r="G75" s="23">
        <v>28</v>
      </c>
      <c r="H75" s="23" t="s">
        <v>567</v>
      </c>
    </row>
    <row r="76" spans="1:8" x14ac:dyDescent="0.25">
      <c r="A76" s="23">
        <v>1065</v>
      </c>
      <c r="B76" s="19">
        <v>45975</v>
      </c>
      <c r="C76" s="23">
        <v>66</v>
      </c>
      <c r="D76" s="23" t="s">
        <v>693</v>
      </c>
      <c r="E76" s="23" t="s">
        <v>136</v>
      </c>
      <c r="F76" s="23">
        <v>7</v>
      </c>
      <c r="G76" s="23">
        <v>27</v>
      </c>
      <c r="H76" s="23" t="s">
        <v>562</v>
      </c>
    </row>
    <row r="77" spans="1:8" x14ac:dyDescent="0.25">
      <c r="A77" s="23">
        <v>1066</v>
      </c>
      <c r="B77" s="19">
        <v>45976</v>
      </c>
      <c r="C77" s="23">
        <v>67</v>
      </c>
      <c r="D77" s="23" t="s">
        <v>697</v>
      </c>
      <c r="E77" s="23" t="s">
        <v>126</v>
      </c>
      <c r="F77" s="23">
        <v>3</v>
      </c>
      <c r="G77" s="23">
        <v>38</v>
      </c>
      <c r="H77" s="23" t="s">
        <v>617</v>
      </c>
    </row>
    <row r="78" spans="1:8" x14ac:dyDescent="0.25">
      <c r="A78" s="23">
        <v>1067</v>
      </c>
      <c r="B78" s="19">
        <v>45977</v>
      </c>
      <c r="C78" s="23">
        <v>68</v>
      </c>
      <c r="D78" s="23" t="s">
        <v>678</v>
      </c>
      <c r="E78" s="23" t="s">
        <v>136</v>
      </c>
      <c r="F78" s="23">
        <v>5</v>
      </c>
      <c r="G78" s="23">
        <v>44</v>
      </c>
      <c r="H78" s="23" t="s">
        <v>647</v>
      </c>
    </row>
    <row r="79" spans="1:8" x14ac:dyDescent="0.25">
      <c r="A79" s="23">
        <v>1068</v>
      </c>
      <c r="B79" s="19">
        <v>45978</v>
      </c>
      <c r="C79" s="23">
        <v>69</v>
      </c>
      <c r="D79" s="23" t="s">
        <v>680</v>
      </c>
      <c r="E79" s="23" t="s">
        <v>138</v>
      </c>
      <c r="F79" s="23">
        <v>2</v>
      </c>
      <c r="G79" s="23">
        <v>50</v>
      </c>
      <c r="H79" s="23" t="s">
        <v>674</v>
      </c>
    </row>
    <row r="80" spans="1:8" x14ac:dyDescent="0.25">
      <c r="A80" s="23">
        <v>1069</v>
      </c>
      <c r="B80" s="19">
        <v>45979</v>
      </c>
      <c r="C80" s="23">
        <v>70</v>
      </c>
      <c r="D80" s="23" t="s">
        <v>691</v>
      </c>
      <c r="E80" s="23" t="s">
        <v>126</v>
      </c>
      <c r="F80" s="23">
        <v>8</v>
      </c>
      <c r="G80" s="23">
        <v>10</v>
      </c>
      <c r="H80" s="23" t="s">
        <v>476</v>
      </c>
    </row>
    <row r="81" spans="1:8" x14ac:dyDescent="0.25">
      <c r="A81" s="23">
        <v>1070</v>
      </c>
      <c r="B81" s="19">
        <v>45980</v>
      </c>
      <c r="C81" s="23">
        <v>71</v>
      </c>
      <c r="D81" s="23" t="s">
        <v>684</v>
      </c>
      <c r="E81" s="23" t="s">
        <v>136</v>
      </c>
      <c r="F81" s="23">
        <v>9</v>
      </c>
      <c r="G81" s="23">
        <v>50</v>
      </c>
      <c r="H81" s="23" t="s">
        <v>674</v>
      </c>
    </row>
    <row r="82" spans="1:8" x14ac:dyDescent="0.25">
      <c r="A82" s="23">
        <v>1071</v>
      </c>
      <c r="B82" s="19">
        <v>45981</v>
      </c>
      <c r="C82" s="23">
        <v>72</v>
      </c>
      <c r="D82" s="23" t="s">
        <v>690</v>
      </c>
      <c r="E82" s="23" t="s">
        <v>137</v>
      </c>
      <c r="F82" s="23">
        <v>1</v>
      </c>
      <c r="G82" s="23">
        <v>27</v>
      </c>
      <c r="H82" s="23" t="s">
        <v>562</v>
      </c>
    </row>
    <row r="83" spans="1:8" x14ac:dyDescent="0.25">
      <c r="A83" s="23">
        <v>1072</v>
      </c>
      <c r="B83" s="19">
        <v>45982</v>
      </c>
      <c r="C83" s="23">
        <v>73</v>
      </c>
      <c r="D83" s="23" t="s">
        <v>682</v>
      </c>
      <c r="E83" s="23" t="s">
        <v>138</v>
      </c>
      <c r="F83" s="23">
        <v>5</v>
      </c>
      <c r="G83" s="23">
        <v>3</v>
      </c>
      <c r="H83" s="23" t="s">
        <v>438</v>
      </c>
    </row>
    <row r="84" spans="1:8" x14ac:dyDescent="0.25">
      <c r="A84" s="23">
        <v>1073</v>
      </c>
      <c r="B84" s="19">
        <v>45983</v>
      </c>
      <c r="C84" s="23">
        <v>74</v>
      </c>
      <c r="D84" s="23" t="s">
        <v>683</v>
      </c>
      <c r="E84" s="23" t="s">
        <v>126</v>
      </c>
      <c r="F84" s="23">
        <v>7</v>
      </c>
      <c r="G84" s="23">
        <v>19</v>
      </c>
      <c r="H84" s="23" t="s">
        <v>522</v>
      </c>
    </row>
    <row r="85" spans="1:8" x14ac:dyDescent="0.25">
      <c r="A85" s="23">
        <v>1074</v>
      </c>
      <c r="B85" s="19">
        <v>45984</v>
      </c>
      <c r="C85" s="23">
        <v>75</v>
      </c>
      <c r="D85" s="23" t="s">
        <v>684</v>
      </c>
      <c r="E85" s="23" t="s">
        <v>136</v>
      </c>
      <c r="F85" s="23">
        <v>4</v>
      </c>
      <c r="G85" s="23">
        <v>13</v>
      </c>
      <c r="H85" s="23" t="s">
        <v>492</v>
      </c>
    </row>
    <row r="86" spans="1:8" x14ac:dyDescent="0.25">
      <c r="A86" s="23">
        <v>1075</v>
      </c>
      <c r="B86" s="19">
        <v>45985</v>
      </c>
      <c r="C86" s="23">
        <v>76</v>
      </c>
      <c r="D86" s="23" t="s">
        <v>696</v>
      </c>
      <c r="E86" s="23" t="s">
        <v>137</v>
      </c>
      <c r="F86" s="23">
        <v>3</v>
      </c>
      <c r="G86" s="23">
        <v>35</v>
      </c>
      <c r="H86" s="23" t="s">
        <v>603</v>
      </c>
    </row>
    <row r="87" spans="1:8" x14ac:dyDescent="0.25">
      <c r="A87" s="23">
        <v>1076</v>
      </c>
      <c r="B87" s="19">
        <v>45986</v>
      </c>
      <c r="C87" s="23">
        <v>77</v>
      </c>
      <c r="D87" s="23" t="s">
        <v>679</v>
      </c>
      <c r="E87" s="23" t="s">
        <v>138</v>
      </c>
      <c r="F87" s="23">
        <v>1</v>
      </c>
      <c r="G87" s="23">
        <v>5</v>
      </c>
      <c r="H87" s="23" t="s">
        <v>450</v>
      </c>
    </row>
    <row r="88" spans="1:8" x14ac:dyDescent="0.25">
      <c r="A88" s="23">
        <v>1077</v>
      </c>
      <c r="B88" s="19">
        <v>45987</v>
      </c>
      <c r="C88" s="23">
        <v>78</v>
      </c>
      <c r="D88" s="23" t="s">
        <v>679</v>
      </c>
      <c r="E88" s="23" t="s">
        <v>138</v>
      </c>
      <c r="F88" s="23">
        <v>8</v>
      </c>
      <c r="G88" s="23">
        <v>34</v>
      </c>
      <c r="H88" s="23" t="s">
        <v>598</v>
      </c>
    </row>
    <row r="89" spans="1:8" x14ac:dyDescent="0.25">
      <c r="A89" s="23">
        <v>1078</v>
      </c>
      <c r="B89" s="19">
        <v>45988</v>
      </c>
      <c r="C89" s="23">
        <v>79</v>
      </c>
      <c r="D89" s="23" t="s">
        <v>694</v>
      </c>
      <c r="E89" s="23" t="s">
        <v>137</v>
      </c>
      <c r="F89" s="23">
        <v>3</v>
      </c>
      <c r="G89" s="23">
        <v>38</v>
      </c>
      <c r="H89" s="23" t="s">
        <v>617</v>
      </c>
    </row>
    <row r="90" spans="1:8" x14ac:dyDescent="0.25">
      <c r="A90" s="23">
        <v>1079</v>
      </c>
      <c r="B90" s="19">
        <v>45989</v>
      </c>
      <c r="C90" s="23">
        <v>80</v>
      </c>
      <c r="D90" s="23" t="s">
        <v>694</v>
      </c>
      <c r="E90" s="23" t="s">
        <v>138</v>
      </c>
      <c r="F90" s="23">
        <v>2</v>
      </c>
      <c r="G90" s="23">
        <v>37</v>
      </c>
      <c r="H90" s="23" t="s">
        <v>612</v>
      </c>
    </row>
    <row r="91" spans="1:8" x14ac:dyDescent="0.25">
      <c r="A91" s="23">
        <v>1080</v>
      </c>
      <c r="B91" s="19">
        <v>45990</v>
      </c>
      <c r="C91" s="23">
        <v>81</v>
      </c>
      <c r="D91" s="23" t="s">
        <v>692</v>
      </c>
      <c r="E91" s="23" t="s">
        <v>137</v>
      </c>
      <c r="F91" s="23">
        <v>10</v>
      </c>
      <c r="G91" s="23">
        <v>35</v>
      </c>
      <c r="H91" s="23" t="s">
        <v>603</v>
      </c>
    </row>
    <row r="92" spans="1:8" x14ac:dyDescent="0.25">
      <c r="A92" s="23">
        <v>1081</v>
      </c>
      <c r="B92" s="19">
        <v>45991</v>
      </c>
      <c r="C92" s="23">
        <v>82</v>
      </c>
      <c r="D92" s="23" t="s">
        <v>691</v>
      </c>
      <c r="E92" s="23" t="s">
        <v>126</v>
      </c>
      <c r="F92" s="23">
        <v>1</v>
      </c>
      <c r="G92" s="23">
        <v>29</v>
      </c>
      <c r="H92" s="23" t="s">
        <v>573</v>
      </c>
    </row>
    <row r="93" spans="1:8" x14ac:dyDescent="0.25">
      <c r="A93" s="23">
        <v>1082</v>
      </c>
      <c r="B93" s="19">
        <v>45992</v>
      </c>
      <c r="C93" s="23">
        <v>83</v>
      </c>
      <c r="D93" s="23" t="s">
        <v>694</v>
      </c>
      <c r="E93" s="23" t="s">
        <v>138</v>
      </c>
      <c r="F93" s="23">
        <v>5</v>
      </c>
      <c r="G93" s="23">
        <v>48</v>
      </c>
      <c r="H93" s="23" t="s">
        <v>666</v>
      </c>
    </row>
    <row r="94" spans="1:8" x14ac:dyDescent="0.25">
      <c r="A94" s="23">
        <v>1083</v>
      </c>
      <c r="B94" s="19">
        <v>45993</v>
      </c>
      <c r="C94" s="23">
        <v>84</v>
      </c>
      <c r="D94" s="23" t="s">
        <v>679</v>
      </c>
      <c r="E94" s="23" t="s">
        <v>126</v>
      </c>
      <c r="F94" s="23">
        <v>8</v>
      </c>
      <c r="G94" s="23">
        <v>28</v>
      </c>
      <c r="H94" s="23" t="s">
        <v>567</v>
      </c>
    </row>
    <row r="95" spans="1:8" x14ac:dyDescent="0.25">
      <c r="A95" s="23">
        <v>1084</v>
      </c>
      <c r="B95" s="19">
        <v>45994</v>
      </c>
      <c r="C95" s="23">
        <v>85</v>
      </c>
      <c r="D95" s="23" t="s">
        <v>695</v>
      </c>
      <c r="E95" s="23" t="s">
        <v>126</v>
      </c>
      <c r="F95" s="23">
        <v>1</v>
      </c>
      <c r="G95" s="23">
        <v>6</v>
      </c>
      <c r="H95" s="23" t="s">
        <v>456</v>
      </c>
    </row>
    <row r="96" spans="1:8" x14ac:dyDescent="0.25">
      <c r="A96" s="23">
        <v>1085</v>
      </c>
      <c r="B96" s="19">
        <v>45995</v>
      </c>
      <c r="C96" s="23">
        <v>86</v>
      </c>
      <c r="D96" s="23" t="s">
        <v>685</v>
      </c>
      <c r="E96" s="23" t="s">
        <v>136</v>
      </c>
      <c r="F96" s="23">
        <v>4</v>
      </c>
      <c r="G96" s="23">
        <v>49</v>
      </c>
      <c r="H96" s="23" t="s">
        <v>670</v>
      </c>
    </row>
    <row r="97" spans="1:8" x14ac:dyDescent="0.25">
      <c r="A97" s="23">
        <v>1086</v>
      </c>
      <c r="B97" s="19">
        <v>45996</v>
      </c>
      <c r="C97" s="23">
        <v>87</v>
      </c>
      <c r="D97" s="23" t="s">
        <v>697</v>
      </c>
      <c r="E97" s="23" t="s">
        <v>138</v>
      </c>
      <c r="F97" s="23">
        <v>8</v>
      </c>
      <c r="G97" s="23">
        <v>29</v>
      </c>
      <c r="H97" s="23" t="s">
        <v>573</v>
      </c>
    </row>
    <row r="98" spans="1:8" x14ac:dyDescent="0.25">
      <c r="A98" s="23">
        <v>1087</v>
      </c>
      <c r="B98" s="19">
        <v>45997</v>
      </c>
      <c r="C98" s="23">
        <v>88</v>
      </c>
      <c r="D98" s="23" t="s">
        <v>692</v>
      </c>
      <c r="E98" s="23" t="s">
        <v>136</v>
      </c>
      <c r="F98" s="23">
        <v>3</v>
      </c>
      <c r="G98" s="23">
        <v>49</v>
      </c>
      <c r="H98" s="23" t="s">
        <v>670</v>
      </c>
    </row>
    <row r="99" spans="1:8" x14ac:dyDescent="0.25">
      <c r="A99" s="23">
        <v>1088</v>
      </c>
      <c r="B99" s="19">
        <v>45998</v>
      </c>
      <c r="C99" s="23">
        <v>89</v>
      </c>
      <c r="D99" s="23" t="s">
        <v>686</v>
      </c>
      <c r="E99" s="23" t="s">
        <v>126</v>
      </c>
      <c r="F99" s="23">
        <v>2</v>
      </c>
      <c r="G99" s="23">
        <v>44</v>
      </c>
      <c r="H99" s="23" t="s">
        <v>647</v>
      </c>
    </row>
    <row r="100" spans="1:8" x14ac:dyDescent="0.25">
      <c r="A100" s="23">
        <v>1089</v>
      </c>
      <c r="B100" s="19">
        <v>45999</v>
      </c>
      <c r="C100" s="23">
        <v>90</v>
      </c>
      <c r="D100" s="23" t="s">
        <v>697</v>
      </c>
      <c r="E100" s="23" t="s">
        <v>138</v>
      </c>
      <c r="F100" s="23">
        <v>2</v>
      </c>
      <c r="G100" s="23">
        <v>9</v>
      </c>
      <c r="H100" s="23" t="s">
        <v>471</v>
      </c>
    </row>
    <row r="101" spans="1:8" x14ac:dyDescent="0.25">
      <c r="A101" s="23">
        <v>1090</v>
      </c>
      <c r="B101" s="19">
        <v>46000</v>
      </c>
      <c r="C101" s="23">
        <v>91</v>
      </c>
      <c r="D101" s="23" t="s">
        <v>682</v>
      </c>
      <c r="E101" s="23" t="s">
        <v>136</v>
      </c>
      <c r="F101" s="23">
        <v>9</v>
      </c>
      <c r="G101" s="23">
        <v>4</v>
      </c>
      <c r="H101" s="23" t="s">
        <v>444</v>
      </c>
    </row>
    <row r="102" spans="1:8" x14ac:dyDescent="0.25">
      <c r="A102" s="23">
        <v>1091</v>
      </c>
      <c r="B102" s="19">
        <v>46001</v>
      </c>
      <c r="C102" s="23">
        <v>92</v>
      </c>
      <c r="D102" s="23" t="s">
        <v>690</v>
      </c>
      <c r="E102" s="23" t="s">
        <v>136</v>
      </c>
      <c r="F102" s="23">
        <v>2</v>
      </c>
      <c r="G102" s="23">
        <v>12</v>
      </c>
      <c r="H102" s="23" t="s">
        <v>487</v>
      </c>
    </row>
    <row r="103" spans="1:8" x14ac:dyDescent="0.25">
      <c r="A103" s="23">
        <v>1092</v>
      </c>
      <c r="B103" s="19">
        <v>46002</v>
      </c>
      <c r="C103" s="23">
        <v>93</v>
      </c>
      <c r="D103" s="23" t="s">
        <v>678</v>
      </c>
      <c r="E103" s="23" t="s">
        <v>136</v>
      </c>
      <c r="F103" s="23">
        <v>10</v>
      </c>
      <c r="G103" s="23">
        <v>25</v>
      </c>
      <c r="H103" s="23" t="s">
        <v>552</v>
      </c>
    </row>
    <row r="104" spans="1:8" x14ac:dyDescent="0.25">
      <c r="A104" s="23">
        <v>1093</v>
      </c>
      <c r="B104" s="19">
        <v>46003</v>
      </c>
      <c r="C104" s="23">
        <v>94</v>
      </c>
      <c r="D104" s="23" t="s">
        <v>692</v>
      </c>
      <c r="E104" s="23" t="s">
        <v>137</v>
      </c>
      <c r="F104" s="23">
        <v>5</v>
      </c>
      <c r="G104" s="23">
        <v>39</v>
      </c>
      <c r="H104" s="23" t="s">
        <v>622</v>
      </c>
    </row>
    <row r="105" spans="1:8" x14ac:dyDescent="0.25">
      <c r="A105" s="23">
        <v>1094</v>
      </c>
      <c r="B105" s="19">
        <v>46004</v>
      </c>
      <c r="C105" s="23">
        <v>95</v>
      </c>
      <c r="D105" s="23" t="s">
        <v>690</v>
      </c>
      <c r="E105" s="23" t="s">
        <v>137</v>
      </c>
      <c r="F105" s="23">
        <v>8</v>
      </c>
      <c r="G105" s="23">
        <v>26</v>
      </c>
      <c r="H105" s="23" t="s">
        <v>557</v>
      </c>
    </row>
    <row r="106" spans="1:8" x14ac:dyDescent="0.25">
      <c r="A106" s="23">
        <v>1095</v>
      </c>
      <c r="B106" s="19">
        <v>46005</v>
      </c>
      <c r="C106" s="23">
        <v>96</v>
      </c>
      <c r="D106" s="23" t="s">
        <v>687</v>
      </c>
      <c r="E106" s="23" t="s">
        <v>137</v>
      </c>
      <c r="F106" s="23">
        <v>10</v>
      </c>
      <c r="G106" s="23">
        <v>18</v>
      </c>
      <c r="H106" s="23" t="s">
        <v>517</v>
      </c>
    </row>
    <row r="107" spans="1:8" x14ac:dyDescent="0.25">
      <c r="A107" s="23">
        <v>1096</v>
      </c>
      <c r="B107" s="19">
        <v>46006</v>
      </c>
      <c r="C107" s="23">
        <v>97</v>
      </c>
      <c r="D107" s="23" t="s">
        <v>691</v>
      </c>
      <c r="E107" s="23" t="s">
        <v>138</v>
      </c>
      <c r="F107" s="23">
        <v>1</v>
      </c>
      <c r="G107" s="23">
        <v>43</v>
      </c>
      <c r="H107" s="23" t="s">
        <v>642</v>
      </c>
    </row>
    <row r="108" spans="1:8" x14ac:dyDescent="0.25">
      <c r="A108" s="23">
        <v>1097</v>
      </c>
      <c r="B108" s="19">
        <v>46007</v>
      </c>
      <c r="C108" s="23">
        <v>98</v>
      </c>
      <c r="D108" s="23" t="s">
        <v>678</v>
      </c>
      <c r="E108" s="23" t="s">
        <v>126</v>
      </c>
      <c r="F108" s="23">
        <v>2</v>
      </c>
      <c r="G108" s="23">
        <v>28</v>
      </c>
      <c r="H108" s="23" t="s">
        <v>567</v>
      </c>
    </row>
    <row r="109" spans="1:8" x14ac:dyDescent="0.25">
      <c r="A109" s="23">
        <v>1098</v>
      </c>
      <c r="B109" s="19">
        <v>46008</v>
      </c>
      <c r="C109" s="23">
        <v>99</v>
      </c>
      <c r="D109" s="23" t="s">
        <v>693</v>
      </c>
      <c r="E109" s="23" t="s">
        <v>136</v>
      </c>
      <c r="F109" s="23">
        <v>9</v>
      </c>
      <c r="G109" s="23">
        <v>21</v>
      </c>
      <c r="H109" s="23" t="s">
        <v>530</v>
      </c>
    </row>
    <row r="110" spans="1:8" x14ac:dyDescent="0.25">
      <c r="A110" s="23">
        <v>1099</v>
      </c>
      <c r="B110" s="19">
        <v>46009</v>
      </c>
      <c r="C110" s="23">
        <v>100</v>
      </c>
      <c r="D110" s="23" t="s">
        <v>682</v>
      </c>
      <c r="E110" s="23" t="s">
        <v>136</v>
      </c>
      <c r="F110" s="23">
        <v>10</v>
      </c>
      <c r="G110" s="23">
        <v>7</v>
      </c>
      <c r="H110" s="23" t="s">
        <v>461</v>
      </c>
    </row>
    <row r="111" spans="1:8" x14ac:dyDescent="0.25">
      <c r="A111" s="23">
        <v>1100</v>
      </c>
      <c r="B111" s="19">
        <v>46010</v>
      </c>
      <c r="C111" s="23">
        <v>101</v>
      </c>
      <c r="D111" s="23" t="s">
        <v>696</v>
      </c>
      <c r="E111" s="23" t="s">
        <v>138</v>
      </c>
      <c r="F111" s="23">
        <v>8</v>
      </c>
      <c r="G111" s="23">
        <v>22</v>
      </c>
      <c r="H111" s="23" t="s">
        <v>535</v>
      </c>
    </row>
    <row r="112" spans="1:8" x14ac:dyDescent="0.25">
      <c r="A112" s="23">
        <v>1101</v>
      </c>
      <c r="B112" s="19">
        <v>46011</v>
      </c>
      <c r="C112" s="23">
        <v>102</v>
      </c>
      <c r="D112" s="23" t="s">
        <v>694</v>
      </c>
      <c r="E112" s="23" t="s">
        <v>126</v>
      </c>
      <c r="F112" s="23">
        <v>1</v>
      </c>
      <c r="G112" s="23">
        <v>15</v>
      </c>
      <c r="H112" s="23" t="s">
        <v>502</v>
      </c>
    </row>
    <row r="113" spans="1:8" x14ac:dyDescent="0.25">
      <c r="A113" s="23">
        <v>1102</v>
      </c>
      <c r="B113" s="19">
        <v>46012</v>
      </c>
      <c r="C113" s="23">
        <v>103</v>
      </c>
      <c r="D113" s="23" t="s">
        <v>682</v>
      </c>
      <c r="E113" s="23" t="s">
        <v>138</v>
      </c>
      <c r="F113" s="23">
        <v>6</v>
      </c>
      <c r="G113" s="23">
        <v>17</v>
      </c>
      <c r="H113" s="23" t="s">
        <v>512</v>
      </c>
    </row>
    <row r="114" spans="1:8" x14ac:dyDescent="0.25">
      <c r="A114" s="23">
        <v>1103</v>
      </c>
      <c r="B114" s="19">
        <v>46013</v>
      </c>
      <c r="C114" s="23">
        <v>104</v>
      </c>
      <c r="D114" s="23" t="s">
        <v>687</v>
      </c>
      <c r="E114" s="23" t="s">
        <v>137</v>
      </c>
      <c r="F114" s="23">
        <v>8</v>
      </c>
      <c r="G114" s="23">
        <v>11</v>
      </c>
      <c r="H114" s="23" t="s">
        <v>481</v>
      </c>
    </row>
    <row r="115" spans="1:8" x14ac:dyDescent="0.25">
      <c r="A115" s="23">
        <v>1104</v>
      </c>
      <c r="B115" s="19">
        <v>46014</v>
      </c>
      <c r="C115" s="23">
        <v>105</v>
      </c>
      <c r="D115" s="23" t="s">
        <v>681</v>
      </c>
      <c r="E115" s="23" t="s">
        <v>137</v>
      </c>
      <c r="F115" s="23">
        <v>2</v>
      </c>
      <c r="G115" s="23">
        <v>10</v>
      </c>
      <c r="H115" s="23" t="s">
        <v>476</v>
      </c>
    </row>
    <row r="116" spans="1:8" x14ac:dyDescent="0.25">
      <c r="A116" s="23">
        <v>1105</v>
      </c>
      <c r="B116" s="19">
        <v>46015</v>
      </c>
      <c r="C116" s="23">
        <v>106</v>
      </c>
      <c r="D116" s="23" t="s">
        <v>688</v>
      </c>
      <c r="E116" s="23" t="s">
        <v>137</v>
      </c>
      <c r="F116" s="23">
        <v>7</v>
      </c>
      <c r="G116" s="23">
        <v>6</v>
      </c>
      <c r="H116" s="23" t="s">
        <v>456</v>
      </c>
    </row>
    <row r="117" spans="1:8" x14ac:dyDescent="0.25">
      <c r="A117" s="23">
        <v>1106</v>
      </c>
      <c r="B117" s="19">
        <v>46016</v>
      </c>
      <c r="C117" s="23">
        <v>107</v>
      </c>
      <c r="D117" s="23" t="s">
        <v>693</v>
      </c>
      <c r="E117" s="23" t="s">
        <v>138</v>
      </c>
      <c r="F117" s="23">
        <v>6</v>
      </c>
      <c r="G117" s="23">
        <v>32</v>
      </c>
      <c r="H117" s="23" t="s">
        <v>588</v>
      </c>
    </row>
    <row r="118" spans="1:8" x14ac:dyDescent="0.25">
      <c r="A118" s="23">
        <v>1107</v>
      </c>
      <c r="B118" s="19">
        <v>46017</v>
      </c>
      <c r="C118" s="23">
        <v>108</v>
      </c>
      <c r="D118" s="23" t="s">
        <v>692</v>
      </c>
      <c r="E118" s="23" t="s">
        <v>137</v>
      </c>
      <c r="F118" s="23">
        <v>1</v>
      </c>
      <c r="G118" s="23">
        <v>34</v>
      </c>
      <c r="H118" s="23" t="s">
        <v>598</v>
      </c>
    </row>
    <row r="119" spans="1:8" x14ac:dyDescent="0.25">
      <c r="A119" s="23">
        <v>1108</v>
      </c>
      <c r="B119" s="19">
        <v>46018</v>
      </c>
      <c r="C119" s="23">
        <v>109</v>
      </c>
      <c r="D119" s="23" t="s">
        <v>681</v>
      </c>
      <c r="E119" s="23" t="s">
        <v>137</v>
      </c>
      <c r="F119" s="23">
        <v>9</v>
      </c>
      <c r="G119" s="23">
        <v>42</v>
      </c>
      <c r="H119" s="23" t="s">
        <v>637</v>
      </c>
    </row>
    <row r="120" spans="1:8" x14ac:dyDescent="0.25">
      <c r="A120" s="23">
        <v>1109</v>
      </c>
      <c r="B120" s="19">
        <v>46019</v>
      </c>
      <c r="C120" s="23">
        <v>110</v>
      </c>
      <c r="D120" s="23" t="s">
        <v>680</v>
      </c>
      <c r="E120" s="23" t="s">
        <v>126</v>
      </c>
      <c r="F120" s="23">
        <v>8</v>
      </c>
      <c r="G120" s="23">
        <v>19</v>
      </c>
      <c r="H120" s="23" t="s">
        <v>522</v>
      </c>
    </row>
    <row r="121" spans="1:8" x14ac:dyDescent="0.25">
      <c r="A121" s="23">
        <v>1110</v>
      </c>
      <c r="B121" s="19">
        <v>46020</v>
      </c>
      <c r="C121" s="23">
        <v>111</v>
      </c>
      <c r="D121" s="23" t="s">
        <v>687</v>
      </c>
      <c r="E121" s="23" t="s">
        <v>136</v>
      </c>
      <c r="F121" s="23">
        <v>4</v>
      </c>
      <c r="G121" s="23">
        <v>32</v>
      </c>
      <c r="H121" s="23" t="s">
        <v>588</v>
      </c>
    </row>
    <row r="122" spans="1:8" x14ac:dyDescent="0.25">
      <c r="A122" s="23">
        <v>1111</v>
      </c>
      <c r="B122" s="19">
        <v>46021</v>
      </c>
      <c r="C122" s="23">
        <v>112</v>
      </c>
      <c r="D122" s="23" t="s">
        <v>687</v>
      </c>
      <c r="E122" s="23" t="s">
        <v>136</v>
      </c>
      <c r="F122" s="23">
        <v>6</v>
      </c>
      <c r="G122" s="23">
        <v>20</v>
      </c>
      <c r="H122" s="23" t="s">
        <v>526</v>
      </c>
    </row>
    <row r="123" spans="1:8" x14ac:dyDescent="0.25">
      <c r="A123" s="23">
        <v>1112</v>
      </c>
      <c r="B123" s="19">
        <v>46022</v>
      </c>
      <c r="C123" s="23">
        <v>113</v>
      </c>
      <c r="D123" s="23" t="s">
        <v>696</v>
      </c>
      <c r="E123" s="23" t="s">
        <v>126</v>
      </c>
      <c r="F123" s="23">
        <v>2</v>
      </c>
      <c r="G123" s="23">
        <v>4</v>
      </c>
      <c r="H123" s="23" t="s">
        <v>444</v>
      </c>
    </row>
    <row r="124" spans="1:8" x14ac:dyDescent="0.25">
      <c r="A124" s="23">
        <v>1113</v>
      </c>
      <c r="B124" s="19">
        <v>46023</v>
      </c>
      <c r="C124" s="23">
        <v>114</v>
      </c>
      <c r="D124" s="23" t="s">
        <v>695</v>
      </c>
      <c r="E124" s="23" t="s">
        <v>137</v>
      </c>
      <c r="F124" s="23">
        <v>9</v>
      </c>
      <c r="G124" s="23">
        <v>45</v>
      </c>
      <c r="H124" s="23" t="s">
        <v>652</v>
      </c>
    </row>
    <row r="125" spans="1:8" x14ac:dyDescent="0.25">
      <c r="A125" s="23">
        <v>1114</v>
      </c>
      <c r="B125" s="19">
        <v>46024</v>
      </c>
      <c r="C125" s="23">
        <v>115</v>
      </c>
      <c r="D125" s="23" t="s">
        <v>678</v>
      </c>
      <c r="E125" s="23" t="s">
        <v>137</v>
      </c>
      <c r="F125" s="23">
        <v>6</v>
      </c>
      <c r="G125" s="23">
        <v>49</v>
      </c>
      <c r="H125" s="23" t="s">
        <v>670</v>
      </c>
    </row>
    <row r="126" spans="1:8" x14ac:dyDescent="0.25">
      <c r="A126" s="23">
        <v>1115</v>
      </c>
      <c r="B126" s="19">
        <v>46025</v>
      </c>
      <c r="C126" s="23">
        <v>116</v>
      </c>
      <c r="D126" s="23" t="s">
        <v>686</v>
      </c>
      <c r="E126" s="23" t="s">
        <v>138</v>
      </c>
      <c r="F126" s="23">
        <v>6</v>
      </c>
      <c r="G126" s="23">
        <v>6</v>
      </c>
      <c r="H126" s="23" t="s">
        <v>456</v>
      </c>
    </row>
    <row r="127" spans="1:8" x14ac:dyDescent="0.25">
      <c r="A127" s="23">
        <v>1116</v>
      </c>
      <c r="B127" s="19">
        <v>46026</v>
      </c>
      <c r="C127" s="23">
        <v>117</v>
      </c>
      <c r="D127" s="23" t="s">
        <v>695</v>
      </c>
      <c r="E127" s="23" t="s">
        <v>137</v>
      </c>
      <c r="F127" s="23">
        <v>2</v>
      </c>
      <c r="G127" s="23">
        <v>21</v>
      </c>
      <c r="H127" s="23" t="s">
        <v>530</v>
      </c>
    </row>
    <row r="128" spans="1:8" x14ac:dyDescent="0.25">
      <c r="A128" s="23">
        <v>1117</v>
      </c>
      <c r="B128" s="19">
        <v>46027</v>
      </c>
      <c r="C128" s="23">
        <v>118</v>
      </c>
      <c r="D128" s="23" t="s">
        <v>684</v>
      </c>
      <c r="E128" s="23" t="s">
        <v>136</v>
      </c>
      <c r="F128" s="23">
        <v>7</v>
      </c>
      <c r="G128" s="23">
        <v>17</v>
      </c>
      <c r="H128" s="23" t="s">
        <v>512</v>
      </c>
    </row>
    <row r="129" spans="1:8" x14ac:dyDescent="0.25">
      <c r="A129" s="23">
        <v>1118</v>
      </c>
      <c r="B129" s="19">
        <v>46028</v>
      </c>
      <c r="C129" s="23">
        <v>119</v>
      </c>
      <c r="D129" s="23" t="s">
        <v>681</v>
      </c>
      <c r="E129" s="23" t="s">
        <v>126</v>
      </c>
      <c r="F129" s="23">
        <v>6</v>
      </c>
      <c r="G129" s="23">
        <v>15</v>
      </c>
      <c r="H129" s="23" t="s">
        <v>502</v>
      </c>
    </row>
    <row r="130" spans="1:8" x14ac:dyDescent="0.25">
      <c r="A130" s="23">
        <v>1119</v>
      </c>
      <c r="B130" s="19">
        <v>46029</v>
      </c>
      <c r="C130" s="23">
        <v>120</v>
      </c>
      <c r="D130" s="23" t="s">
        <v>684</v>
      </c>
      <c r="E130" s="23" t="s">
        <v>137</v>
      </c>
      <c r="F130" s="23">
        <v>4</v>
      </c>
      <c r="G130" s="23">
        <v>6</v>
      </c>
      <c r="H130" s="23" t="s">
        <v>456</v>
      </c>
    </row>
    <row r="131" spans="1:8" x14ac:dyDescent="0.25">
      <c r="A131" s="23">
        <v>1120</v>
      </c>
      <c r="B131" s="19">
        <v>46030</v>
      </c>
      <c r="C131" s="23">
        <v>121</v>
      </c>
      <c r="D131" s="23" t="s">
        <v>694</v>
      </c>
      <c r="E131" s="23" t="s">
        <v>136</v>
      </c>
      <c r="F131" s="23">
        <v>7</v>
      </c>
      <c r="G131" s="23">
        <v>16</v>
      </c>
      <c r="H131" s="23" t="s">
        <v>507</v>
      </c>
    </row>
    <row r="132" spans="1:8" x14ac:dyDescent="0.25">
      <c r="A132" s="23">
        <v>1121</v>
      </c>
      <c r="B132" s="19">
        <v>46031</v>
      </c>
      <c r="C132" s="23">
        <v>122</v>
      </c>
      <c r="D132" s="23" t="s">
        <v>695</v>
      </c>
      <c r="E132" s="23" t="s">
        <v>136</v>
      </c>
      <c r="F132" s="23">
        <v>1</v>
      </c>
      <c r="G132" s="23">
        <v>30</v>
      </c>
      <c r="H132" s="23" t="s">
        <v>578</v>
      </c>
    </row>
    <row r="133" spans="1:8" x14ac:dyDescent="0.25">
      <c r="A133" s="23">
        <v>1122</v>
      </c>
      <c r="B133" s="19">
        <v>46032</v>
      </c>
      <c r="C133" s="23">
        <v>123</v>
      </c>
      <c r="D133" s="23" t="s">
        <v>695</v>
      </c>
      <c r="E133" s="23" t="s">
        <v>126</v>
      </c>
      <c r="F133" s="23">
        <v>3</v>
      </c>
      <c r="G133" s="23">
        <v>35</v>
      </c>
      <c r="H133" s="23" t="s">
        <v>603</v>
      </c>
    </row>
    <row r="134" spans="1:8" x14ac:dyDescent="0.25">
      <c r="A134" s="23">
        <v>1123</v>
      </c>
      <c r="B134" s="19">
        <v>46033</v>
      </c>
      <c r="C134" s="23">
        <v>124</v>
      </c>
      <c r="D134" s="23" t="s">
        <v>683</v>
      </c>
      <c r="E134" s="23" t="s">
        <v>137</v>
      </c>
      <c r="F134" s="23">
        <v>4</v>
      </c>
      <c r="G134" s="23">
        <v>38</v>
      </c>
      <c r="H134" s="23" t="s">
        <v>617</v>
      </c>
    </row>
    <row r="135" spans="1:8" x14ac:dyDescent="0.25">
      <c r="A135" s="23">
        <v>1124</v>
      </c>
      <c r="B135" s="19">
        <v>46034</v>
      </c>
      <c r="C135" s="23">
        <v>125</v>
      </c>
      <c r="D135" s="23" t="s">
        <v>687</v>
      </c>
      <c r="E135" s="23" t="s">
        <v>138</v>
      </c>
      <c r="F135" s="23">
        <v>9</v>
      </c>
      <c r="G135" s="23">
        <v>43</v>
      </c>
      <c r="H135" s="23" t="s">
        <v>642</v>
      </c>
    </row>
    <row r="136" spans="1:8" x14ac:dyDescent="0.25">
      <c r="A136" s="23">
        <v>1125</v>
      </c>
      <c r="B136" s="19">
        <v>46035</v>
      </c>
      <c r="C136" s="23">
        <v>126</v>
      </c>
      <c r="D136" s="23" t="s">
        <v>680</v>
      </c>
      <c r="E136" s="23" t="s">
        <v>136</v>
      </c>
      <c r="F136" s="23">
        <v>6</v>
      </c>
      <c r="G136" s="23">
        <v>22</v>
      </c>
      <c r="H136" s="23" t="s">
        <v>535</v>
      </c>
    </row>
    <row r="137" spans="1:8" x14ac:dyDescent="0.25">
      <c r="A137" s="23">
        <v>1126</v>
      </c>
      <c r="B137" s="19">
        <v>46036</v>
      </c>
      <c r="C137" s="23">
        <v>127</v>
      </c>
      <c r="D137" s="23" t="s">
        <v>692</v>
      </c>
      <c r="E137" s="23" t="s">
        <v>137</v>
      </c>
      <c r="F137" s="23">
        <v>4</v>
      </c>
      <c r="G137" s="23">
        <v>8</v>
      </c>
      <c r="H137" s="23" t="s">
        <v>466</v>
      </c>
    </row>
    <row r="138" spans="1:8" x14ac:dyDescent="0.25">
      <c r="A138" s="23">
        <v>1127</v>
      </c>
      <c r="B138" s="19">
        <v>46037</v>
      </c>
      <c r="C138" s="23">
        <v>128</v>
      </c>
      <c r="D138" s="23" t="s">
        <v>690</v>
      </c>
      <c r="E138" s="23" t="s">
        <v>136</v>
      </c>
      <c r="F138" s="23">
        <v>1</v>
      </c>
      <c r="G138" s="23">
        <v>37</v>
      </c>
      <c r="H138" s="23" t="s">
        <v>612</v>
      </c>
    </row>
    <row r="139" spans="1:8" x14ac:dyDescent="0.25">
      <c r="A139" s="23">
        <v>1128</v>
      </c>
      <c r="B139" s="19">
        <v>46038</v>
      </c>
      <c r="C139" s="23">
        <v>129</v>
      </c>
      <c r="D139" s="23" t="s">
        <v>682</v>
      </c>
      <c r="E139" s="23" t="s">
        <v>138</v>
      </c>
      <c r="F139" s="23">
        <v>10</v>
      </c>
      <c r="G139" s="23">
        <v>5</v>
      </c>
      <c r="H139" s="23" t="s">
        <v>450</v>
      </c>
    </row>
    <row r="140" spans="1:8" x14ac:dyDescent="0.25">
      <c r="A140" s="23">
        <v>1129</v>
      </c>
      <c r="B140" s="19">
        <v>46039</v>
      </c>
      <c r="C140" s="23">
        <v>130</v>
      </c>
      <c r="D140" s="23" t="s">
        <v>678</v>
      </c>
      <c r="E140" s="23" t="s">
        <v>137</v>
      </c>
      <c r="F140" s="23">
        <v>9</v>
      </c>
      <c r="G140" s="23">
        <v>14</v>
      </c>
      <c r="H140" s="23" t="s">
        <v>497</v>
      </c>
    </row>
    <row r="141" spans="1:8" x14ac:dyDescent="0.25">
      <c r="A141" s="23">
        <v>1130</v>
      </c>
      <c r="B141" s="19">
        <v>46040</v>
      </c>
      <c r="C141" s="23">
        <v>131</v>
      </c>
      <c r="D141" s="23" t="s">
        <v>697</v>
      </c>
      <c r="E141" s="23" t="s">
        <v>126</v>
      </c>
      <c r="F141" s="23">
        <v>1</v>
      </c>
      <c r="G141" s="23">
        <v>20</v>
      </c>
      <c r="H141" s="23" t="s">
        <v>526</v>
      </c>
    </row>
    <row r="142" spans="1:8" x14ac:dyDescent="0.25">
      <c r="A142" s="23">
        <v>1131</v>
      </c>
      <c r="B142" s="19">
        <v>46041</v>
      </c>
      <c r="C142" s="23">
        <v>132</v>
      </c>
      <c r="D142" s="23" t="s">
        <v>692</v>
      </c>
      <c r="E142" s="23" t="s">
        <v>136</v>
      </c>
      <c r="F142" s="23">
        <v>5</v>
      </c>
      <c r="G142" s="23">
        <v>20</v>
      </c>
      <c r="H142" s="23" t="s">
        <v>526</v>
      </c>
    </row>
    <row r="143" spans="1:8" x14ac:dyDescent="0.25">
      <c r="A143" s="23">
        <v>1132</v>
      </c>
      <c r="B143" s="19">
        <v>46042</v>
      </c>
      <c r="C143" s="23">
        <v>133</v>
      </c>
      <c r="D143" s="23" t="s">
        <v>693</v>
      </c>
      <c r="E143" s="23" t="s">
        <v>138</v>
      </c>
      <c r="F143" s="23">
        <v>3</v>
      </c>
      <c r="G143" s="23">
        <v>12</v>
      </c>
      <c r="H143" s="23" t="s">
        <v>487</v>
      </c>
    </row>
    <row r="144" spans="1:8" x14ac:dyDescent="0.25">
      <c r="A144" s="23">
        <v>1133</v>
      </c>
      <c r="B144" s="19">
        <v>46043</v>
      </c>
      <c r="C144" s="23">
        <v>134</v>
      </c>
      <c r="D144" s="23" t="s">
        <v>696</v>
      </c>
      <c r="E144" s="23" t="s">
        <v>137</v>
      </c>
      <c r="F144" s="23">
        <v>5</v>
      </c>
      <c r="G144" s="23">
        <v>19</v>
      </c>
      <c r="H144" s="23" t="s">
        <v>522</v>
      </c>
    </row>
    <row r="145" spans="1:8" x14ac:dyDescent="0.25">
      <c r="A145" s="23">
        <v>1134</v>
      </c>
      <c r="B145" s="19">
        <v>46044</v>
      </c>
      <c r="C145" s="23">
        <v>135</v>
      </c>
      <c r="D145" s="23" t="s">
        <v>694</v>
      </c>
      <c r="E145" s="23" t="s">
        <v>126</v>
      </c>
      <c r="F145" s="23">
        <v>9</v>
      </c>
      <c r="G145" s="23">
        <v>17</v>
      </c>
      <c r="H145" s="23" t="s">
        <v>512</v>
      </c>
    </row>
    <row r="146" spans="1:8" x14ac:dyDescent="0.25">
      <c r="A146" s="23">
        <v>1135</v>
      </c>
      <c r="B146" s="19">
        <v>46045</v>
      </c>
      <c r="C146" s="23">
        <v>136</v>
      </c>
      <c r="D146" s="23" t="s">
        <v>678</v>
      </c>
      <c r="E146" s="23" t="s">
        <v>137</v>
      </c>
      <c r="F146" s="23">
        <v>3</v>
      </c>
      <c r="G146" s="23">
        <v>41</v>
      </c>
      <c r="H146" s="23" t="s">
        <v>632</v>
      </c>
    </row>
    <row r="147" spans="1:8" x14ac:dyDescent="0.25">
      <c r="A147" s="23">
        <v>1136</v>
      </c>
      <c r="B147" s="19">
        <v>46046</v>
      </c>
      <c r="C147" s="23">
        <v>137</v>
      </c>
      <c r="D147" s="23" t="s">
        <v>687</v>
      </c>
      <c r="E147" s="23" t="s">
        <v>136</v>
      </c>
      <c r="F147" s="23">
        <v>8</v>
      </c>
      <c r="G147" s="23">
        <v>35</v>
      </c>
      <c r="H147" s="23" t="s">
        <v>603</v>
      </c>
    </row>
    <row r="148" spans="1:8" x14ac:dyDescent="0.25">
      <c r="A148" s="23">
        <v>1137</v>
      </c>
      <c r="B148" s="19">
        <v>46047</v>
      </c>
      <c r="C148" s="23">
        <v>138</v>
      </c>
      <c r="D148" s="23" t="s">
        <v>688</v>
      </c>
      <c r="E148" s="23" t="s">
        <v>126</v>
      </c>
      <c r="F148" s="23">
        <v>8</v>
      </c>
      <c r="G148" s="23">
        <v>44</v>
      </c>
      <c r="H148" s="23" t="s">
        <v>647</v>
      </c>
    </row>
    <row r="149" spans="1:8" x14ac:dyDescent="0.25">
      <c r="A149" s="23">
        <v>1138</v>
      </c>
      <c r="B149" s="19">
        <v>46048</v>
      </c>
      <c r="C149" s="23">
        <v>139</v>
      </c>
      <c r="D149" s="23" t="s">
        <v>692</v>
      </c>
      <c r="E149" s="23" t="s">
        <v>138</v>
      </c>
      <c r="F149" s="23">
        <v>10</v>
      </c>
      <c r="G149" s="23">
        <v>44</v>
      </c>
      <c r="H149" s="23" t="s">
        <v>647</v>
      </c>
    </row>
    <row r="150" spans="1:8" x14ac:dyDescent="0.25">
      <c r="A150" s="23">
        <v>1139</v>
      </c>
      <c r="B150" s="19">
        <v>46049</v>
      </c>
      <c r="C150" s="23">
        <v>140</v>
      </c>
      <c r="D150" s="23" t="s">
        <v>686</v>
      </c>
      <c r="E150" s="23" t="s">
        <v>137</v>
      </c>
      <c r="F150" s="23">
        <v>1</v>
      </c>
      <c r="G150" s="23">
        <v>14</v>
      </c>
      <c r="H150" s="23" t="s">
        <v>497</v>
      </c>
    </row>
    <row r="151" spans="1:8" x14ac:dyDescent="0.25">
      <c r="A151" s="23">
        <v>1140</v>
      </c>
      <c r="B151" s="19">
        <v>46050</v>
      </c>
      <c r="C151" s="23">
        <v>141</v>
      </c>
      <c r="D151" s="23" t="s">
        <v>688</v>
      </c>
      <c r="E151" s="23" t="s">
        <v>137</v>
      </c>
      <c r="F151" s="23">
        <v>2</v>
      </c>
      <c r="G151" s="23">
        <v>13</v>
      </c>
      <c r="H151" s="23" t="s">
        <v>492</v>
      </c>
    </row>
    <row r="152" spans="1:8" x14ac:dyDescent="0.25">
      <c r="A152" s="23">
        <v>1141</v>
      </c>
      <c r="B152" s="19">
        <v>46051</v>
      </c>
      <c r="C152" s="23">
        <v>142</v>
      </c>
      <c r="D152" s="23" t="s">
        <v>688</v>
      </c>
      <c r="E152" s="23" t="s">
        <v>126</v>
      </c>
      <c r="F152" s="23">
        <v>5</v>
      </c>
      <c r="G152" s="23">
        <v>32</v>
      </c>
      <c r="H152" s="23" t="s">
        <v>588</v>
      </c>
    </row>
    <row r="153" spans="1:8" x14ac:dyDescent="0.25">
      <c r="A153" s="23">
        <v>1142</v>
      </c>
      <c r="B153" s="19">
        <v>46052</v>
      </c>
      <c r="C153" s="23">
        <v>143</v>
      </c>
      <c r="D153" s="23" t="s">
        <v>689</v>
      </c>
      <c r="E153" s="23" t="s">
        <v>137</v>
      </c>
      <c r="F153" s="23">
        <v>2</v>
      </c>
      <c r="G153" s="23">
        <v>4</v>
      </c>
      <c r="H153" s="23" t="s">
        <v>444</v>
      </c>
    </row>
    <row r="154" spans="1:8" x14ac:dyDescent="0.25">
      <c r="A154" s="23">
        <v>1143</v>
      </c>
      <c r="B154" s="19">
        <v>46053</v>
      </c>
      <c r="C154" s="23">
        <v>144</v>
      </c>
      <c r="D154" s="23" t="s">
        <v>687</v>
      </c>
      <c r="E154" s="23" t="s">
        <v>136</v>
      </c>
      <c r="F154" s="23">
        <v>9</v>
      </c>
      <c r="G154" s="23">
        <v>35</v>
      </c>
      <c r="H154" s="23" t="s">
        <v>603</v>
      </c>
    </row>
    <row r="155" spans="1:8" x14ac:dyDescent="0.25">
      <c r="A155" s="23">
        <v>1144</v>
      </c>
      <c r="B155" s="19">
        <v>46054</v>
      </c>
      <c r="C155" s="23">
        <v>145</v>
      </c>
      <c r="D155" s="23" t="s">
        <v>689</v>
      </c>
      <c r="E155" s="23" t="s">
        <v>126</v>
      </c>
      <c r="F155" s="23">
        <v>9</v>
      </c>
      <c r="G155" s="23">
        <v>9</v>
      </c>
      <c r="H155" s="23" t="s">
        <v>471</v>
      </c>
    </row>
    <row r="156" spans="1:8" x14ac:dyDescent="0.25">
      <c r="A156" s="23">
        <v>1145</v>
      </c>
      <c r="B156" s="19">
        <v>46055</v>
      </c>
      <c r="C156" s="23">
        <v>146</v>
      </c>
      <c r="D156" s="23" t="s">
        <v>693</v>
      </c>
      <c r="E156" s="23" t="s">
        <v>137</v>
      </c>
      <c r="F156" s="23">
        <v>1</v>
      </c>
      <c r="G156" s="23">
        <v>23</v>
      </c>
      <c r="H156" s="23" t="s">
        <v>540</v>
      </c>
    </row>
    <row r="157" spans="1:8" x14ac:dyDescent="0.25">
      <c r="A157" s="23">
        <v>1146</v>
      </c>
      <c r="B157" s="19">
        <v>46056</v>
      </c>
      <c r="C157" s="23">
        <v>147</v>
      </c>
      <c r="D157" s="23" t="s">
        <v>691</v>
      </c>
      <c r="E157" s="23" t="s">
        <v>126</v>
      </c>
      <c r="F157" s="23">
        <v>6</v>
      </c>
      <c r="G157" s="23">
        <v>26</v>
      </c>
      <c r="H157" s="23" t="s">
        <v>557</v>
      </c>
    </row>
    <row r="158" spans="1:8" x14ac:dyDescent="0.25">
      <c r="A158" s="23">
        <v>1147</v>
      </c>
      <c r="B158" s="19">
        <v>46057</v>
      </c>
      <c r="C158" s="23">
        <v>148</v>
      </c>
      <c r="D158" s="23" t="s">
        <v>683</v>
      </c>
      <c r="E158" s="23" t="s">
        <v>126</v>
      </c>
      <c r="F158" s="23">
        <v>5</v>
      </c>
      <c r="G158" s="23">
        <v>7</v>
      </c>
      <c r="H158" s="23" t="s">
        <v>461</v>
      </c>
    </row>
    <row r="159" spans="1:8" x14ac:dyDescent="0.25">
      <c r="A159" s="23">
        <v>1148</v>
      </c>
      <c r="B159" s="19">
        <v>46058</v>
      </c>
      <c r="C159" s="23">
        <v>149</v>
      </c>
      <c r="D159" s="23" t="s">
        <v>693</v>
      </c>
      <c r="E159" s="23" t="s">
        <v>138</v>
      </c>
      <c r="F159" s="23">
        <v>8</v>
      </c>
      <c r="G159" s="23">
        <v>43</v>
      </c>
      <c r="H159" s="23" t="s">
        <v>642</v>
      </c>
    </row>
    <row r="160" spans="1:8" x14ac:dyDescent="0.25">
      <c r="A160" s="23">
        <v>1149</v>
      </c>
      <c r="B160" s="19">
        <v>46059</v>
      </c>
      <c r="C160" s="23">
        <v>150</v>
      </c>
      <c r="D160" s="23" t="s">
        <v>680</v>
      </c>
      <c r="E160" s="23" t="s">
        <v>138</v>
      </c>
      <c r="F160" s="23">
        <v>8</v>
      </c>
      <c r="G160" s="23">
        <v>42</v>
      </c>
      <c r="H160" s="23" t="s">
        <v>637</v>
      </c>
    </row>
    <row r="161" spans="1:8" x14ac:dyDescent="0.25">
      <c r="A161" s="23">
        <v>1150</v>
      </c>
      <c r="B161" s="19">
        <v>46060</v>
      </c>
      <c r="C161" s="23">
        <v>151</v>
      </c>
      <c r="D161" s="23" t="s">
        <v>696</v>
      </c>
      <c r="E161" s="23" t="s">
        <v>138</v>
      </c>
      <c r="F161" s="23">
        <v>10</v>
      </c>
      <c r="G161" s="23">
        <v>3</v>
      </c>
      <c r="H161" s="23" t="s">
        <v>438</v>
      </c>
    </row>
    <row r="162" spans="1:8" x14ac:dyDescent="0.25">
      <c r="A162" s="23">
        <v>1151</v>
      </c>
      <c r="B162" s="19">
        <v>46061</v>
      </c>
      <c r="C162" s="23">
        <v>152</v>
      </c>
      <c r="D162" s="23" t="s">
        <v>695</v>
      </c>
      <c r="E162" s="23" t="s">
        <v>126</v>
      </c>
      <c r="F162" s="23">
        <v>4</v>
      </c>
      <c r="G162" s="23">
        <v>35</v>
      </c>
      <c r="H162" s="23" t="s">
        <v>603</v>
      </c>
    </row>
    <row r="163" spans="1:8" x14ac:dyDescent="0.25">
      <c r="A163" s="23">
        <v>1152</v>
      </c>
      <c r="B163" s="19">
        <v>46062</v>
      </c>
      <c r="C163" s="23">
        <v>153</v>
      </c>
      <c r="D163" s="23" t="s">
        <v>688</v>
      </c>
      <c r="E163" s="23" t="s">
        <v>138</v>
      </c>
      <c r="F163" s="23">
        <v>5</v>
      </c>
      <c r="G163" s="23">
        <v>16</v>
      </c>
      <c r="H163" s="23" t="s">
        <v>507</v>
      </c>
    </row>
    <row r="164" spans="1:8" x14ac:dyDescent="0.25">
      <c r="A164" s="23">
        <v>1153</v>
      </c>
      <c r="B164" s="19">
        <v>46063</v>
      </c>
      <c r="C164" s="23">
        <v>154</v>
      </c>
      <c r="D164" s="23" t="s">
        <v>683</v>
      </c>
      <c r="E164" s="23" t="s">
        <v>137</v>
      </c>
      <c r="F164" s="23">
        <v>5</v>
      </c>
      <c r="G164" s="23">
        <v>29</v>
      </c>
      <c r="H164" s="23" t="s">
        <v>573</v>
      </c>
    </row>
    <row r="165" spans="1:8" x14ac:dyDescent="0.25">
      <c r="A165" s="23">
        <v>1154</v>
      </c>
      <c r="B165" s="19">
        <v>46064</v>
      </c>
      <c r="C165" s="23">
        <v>155</v>
      </c>
      <c r="D165" s="23" t="s">
        <v>690</v>
      </c>
      <c r="E165" s="23" t="s">
        <v>137</v>
      </c>
      <c r="F165" s="23">
        <v>8</v>
      </c>
      <c r="G165" s="23">
        <v>32</v>
      </c>
      <c r="H165" s="23" t="s">
        <v>588</v>
      </c>
    </row>
    <row r="166" spans="1:8" x14ac:dyDescent="0.25">
      <c r="A166" s="23">
        <v>1155</v>
      </c>
      <c r="B166" s="19">
        <v>46065</v>
      </c>
      <c r="C166" s="23">
        <v>156</v>
      </c>
      <c r="D166" s="23" t="s">
        <v>681</v>
      </c>
      <c r="E166" s="23" t="s">
        <v>126</v>
      </c>
      <c r="F166" s="23">
        <v>9</v>
      </c>
      <c r="G166" s="23">
        <v>21</v>
      </c>
      <c r="H166" s="23" t="s">
        <v>530</v>
      </c>
    </row>
    <row r="167" spans="1:8" x14ac:dyDescent="0.25">
      <c r="A167" s="23">
        <v>1156</v>
      </c>
      <c r="B167" s="19">
        <v>46066</v>
      </c>
      <c r="C167" s="23">
        <v>157</v>
      </c>
      <c r="D167" s="23" t="s">
        <v>693</v>
      </c>
      <c r="E167" s="23" t="s">
        <v>138</v>
      </c>
      <c r="F167" s="23">
        <v>2</v>
      </c>
      <c r="G167" s="23">
        <v>24</v>
      </c>
      <c r="H167" s="23" t="s">
        <v>546</v>
      </c>
    </row>
    <row r="168" spans="1:8" x14ac:dyDescent="0.25">
      <c r="A168" s="23">
        <v>1157</v>
      </c>
      <c r="B168" s="19">
        <v>46067</v>
      </c>
      <c r="C168" s="23">
        <v>158</v>
      </c>
      <c r="D168" s="23" t="s">
        <v>683</v>
      </c>
      <c r="E168" s="23" t="s">
        <v>137</v>
      </c>
      <c r="F168" s="23">
        <v>3</v>
      </c>
      <c r="G168" s="23">
        <v>30</v>
      </c>
      <c r="H168" s="23" t="s">
        <v>578</v>
      </c>
    </row>
    <row r="169" spans="1:8" x14ac:dyDescent="0.25">
      <c r="A169" s="23">
        <v>1158</v>
      </c>
      <c r="B169" s="19">
        <v>46068</v>
      </c>
      <c r="C169" s="23">
        <v>159</v>
      </c>
      <c r="D169" s="23" t="s">
        <v>687</v>
      </c>
      <c r="E169" s="23" t="s">
        <v>126</v>
      </c>
      <c r="F169" s="23">
        <v>8</v>
      </c>
      <c r="G169" s="23">
        <v>13</v>
      </c>
      <c r="H169" s="23" t="s">
        <v>492</v>
      </c>
    </row>
    <row r="170" spans="1:8" x14ac:dyDescent="0.25">
      <c r="A170" s="23">
        <v>1159</v>
      </c>
      <c r="B170" s="19">
        <v>46069</v>
      </c>
      <c r="C170" s="23">
        <v>160</v>
      </c>
      <c r="D170" s="23" t="s">
        <v>687</v>
      </c>
      <c r="E170" s="23" t="s">
        <v>136</v>
      </c>
      <c r="F170" s="23">
        <v>4</v>
      </c>
      <c r="G170" s="23">
        <v>7</v>
      </c>
      <c r="H170" s="23" t="s">
        <v>461</v>
      </c>
    </row>
    <row r="171" spans="1:8" x14ac:dyDescent="0.25">
      <c r="A171" s="23">
        <v>1160</v>
      </c>
      <c r="B171" s="19">
        <v>46070</v>
      </c>
      <c r="C171" s="23">
        <v>161</v>
      </c>
      <c r="D171" s="23" t="s">
        <v>680</v>
      </c>
      <c r="E171" s="23" t="s">
        <v>126</v>
      </c>
      <c r="F171" s="23">
        <v>7</v>
      </c>
      <c r="G171" s="23">
        <v>47</v>
      </c>
      <c r="H171" s="23" t="s">
        <v>661</v>
      </c>
    </row>
    <row r="172" spans="1:8" x14ac:dyDescent="0.25">
      <c r="A172" s="23">
        <v>1161</v>
      </c>
      <c r="B172" s="19">
        <v>46071</v>
      </c>
      <c r="C172" s="23">
        <v>162</v>
      </c>
      <c r="D172" s="23" t="s">
        <v>686</v>
      </c>
      <c r="E172" s="23" t="s">
        <v>126</v>
      </c>
      <c r="F172" s="23">
        <v>6</v>
      </c>
      <c r="G172" s="23">
        <v>27</v>
      </c>
      <c r="H172" s="23" t="s">
        <v>562</v>
      </c>
    </row>
    <row r="173" spans="1:8" x14ac:dyDescent="0.25">
      <c r="A173" s="23">
        <v>1162</v>
      </c>
      <c r="B173" s="19">
        <v>46072</v>
      </c>
      <c r="C173" s="23">
        <v>163</v>
      </c>
      <c r="D173" s="23" t="s">
        <v>682</v>
      </c>
      <c r="E173" s="23" t="s">
        <v>137</v>
      </c>
      <c r="F173" s="23">
        <v>3</v>
      </c>
      <c r="G173" s="23">
        <v>40</v>
      </c>
      <c r="H173" s="23" t="s">
        <v>627</v>
      </c>
    </row>
    <row r="174" spans="1:8" x14ac:dyDescent="0.25">
      <c r="A174" s="23">
        <v>1163</v>
      </c>
      <c r="B174" s="19">
        <v>46073</v>
      </c>
      <c r="C174" s="23">
        <v>164</v>
      </c>
      <c r="D174" s="23" t="s">
        <v>695</v>
      </c>
      <c r="E174" s="23" t="s">
        <v>137</v>
      </c>
      <c r="F174" s="23">
        <v>8</v>
      </c>
      <c r="G174" s="23">
        <v>4</v>
      </c>
      <c r="H174" s="23" t="s">
        <v>444</v>
      </c>
    </row>
    <row r="175" spans="1:8" x14ac:dyDescent="0.25">
      <c r="A175" s="23">
        <v>1164</v>
      </c>
      <c r="B175" s="19">
        <v>46074</v>
      </c>
      <c r="C175" s="23">
        <v>165</v>
      </c>
      <c r="D175" s="23" t="s">
        <v>681</v>
      </c>
      <c r="E175" s="23" t="s">
        <v>126</v>
      </c>
      <c r="F175" s="23">
        <v>2</v>
      </c>
      <c r="G175" s="23">
        <v>33</v>
      </c>
      <c r="H175" s="23" t="s">
        <v>593</v>
      </c>
    </row>
    <row r="176" spans="1:8" x14ac:dyDescent="0.25">
      <c r="A176" s="23">
        <v>1165</v>
      </c>
      <c r="B176" s="19">
        <v>46075</v>
      </c>
      <c r="C176" s="23">
        <v>166</v>
      </c>
      <c r="D176" s="23" t="s">
        <v>697</v>
      </c>
      <c r="E176" s="23" t="s">
        <v>138</v>
      </c>
      <c r="F176" s="23">
        <v>2</v>
      </c>
      <c r="G176" s="23">
        <v>34</v>
      </c>
      <c r="H176" s="23" t="s">
        <v>598</v>
      </c>
    </row>
    <row r="177" spans="1:8" x14ac:dyDescent="0.25">
      <c r="A177" s="23">
        <v>1166</v>
      </c>
      <c r="B177" s="19">
        <v>46076</v>
      </c>
      <c r="C177" s="23">
        <v>167</v>
      </c>
      <c r="D177" s="23" t="s">
        <v>681</v>
      </c>
      <c r="E177" s="23" t="s">
        <v>138</v>
      </c>
      <c r="F177" s="23">
        <v>5</v>
      </c>
      <c r="G177" s="23">
        <v>38</v>
      </c>
      <c r="H177" s="23" t="s">
        <v>617</v>
      </c>
    </row>
    <row r="178" spans="1:8" x14ac:dyDescent="0.25">
      <c r="A178" s="23">
        <v>1167</v>
      </c>
      <c r="B178" s="19">
        <v>46077</v>
      </c>
      <c r="C178" s="23">
        <v>168</v>
      </c>
      <c r="D178" s="23" t="s">
        <v>678</v>
      </c>
      <c r="E178" s="23" t="s">
        <v>138</v>
      </c>
      <c r="F178" s="23">
        <v>7</v>
      </c>
      <c r="G178" s="23">
        <v>25</v>
      </c>
      <c r="H178" s="23" t="s">
        <v>552</v>
      </c>
    </row>
    <row r="179" spans="1:8" x14ac:dyDescent="0.25">
      <c r="A179" s="23">
        <v>1168</v>
      </c>
      <c r="B179" s="19">
        <v>46078</v>
      </c>
      <c r="C179" s="23">
        <v>169</v>
      </c>
      <c r="D179" s="23" t="s">
        <v>690</v>
      </c>
      <c r="E179" s="23" t="s">
        <v>137</v>
      </c>
      <c r="F179" s="23">
        <v>1</v>
      </c>
      <c r="G179" s="23">
        <v>37</v>
      </c>
      <c r="H179" s="23" t="s">
        <v>612</v>
      </c>
    </row>
    <row r="180" spans="1:8" x14ac:dyDescent="0.25">
      <c r="A180" s="23">
        <v>1169</v>
      </c>
      <c r="B180" s="19">
        <v>46079</v>
      </c>
      <c r="C180" s="23">
        <v>170</v>
      </c>
      <c r="D180" s="23" t="s">
        <v>687</v>
      </c>
      <c r="E180" s="23" t="s">
        <v>136</v>
      </c>
      <c r="F180" s="23">
        <v>2</v>
      </c>
      <c r="G180" s="23">
        <v>43</v>
      </c>
      <c r="H180" s="23" t="s">
        <v>642</v>
      </c>
    </row>
    <row r="181" spans="1:8" x14ac:dyDescent="0.25">
      <c r="A181" s="23">
        <v>1170</v>
      </c>
      <c r="B181" s="19">
        <v>46080</v>
      </c>
      <c r="C181" s="23">
        <v>171</v>
      </c>
      <c r="D181" s="23" t="s">
        <v>697</v>
      </c>
      <c r="E181" s="23" t="s">
        <v>138</v>
      </c>
      <c r="F181" s="23">
        <v>4</v>
      </c>
      <c r="G181" s="23">
        <v>9</v>
      </c>
      <c r="H181" s="23" t="s">
        <v>471</v>
      </c>
    </row>
    <row r="182" spans="1:8" x14ac:dyDescent="0.25">
      <c r="A182" s="23">
        <v>1171</v>
      </c>
      <c r="B182" s="19">
        <v>46081</v>
      </c>
      <c r="C182" s="23">
        <v>172</v>
      </c>
      <c r="D182" s="23" t="s">
        <v>680</v>
      </c>
      <c r="E182" s="23" t="s">
        <v>136</v>
      </c>
      <c r="F182" s="23">
        <v>6</v>
      </c>
      <c r="G182" s="23">
        <v>29</v>
      </c>
      <c r="H182" s="23" t="s">
        <v>573</v>
      </c>
    </row>
    <row r="183" spans="1:8" x14ac:dyDescent="0.25">
      <c r="A183" s="23">
        <v>1172</v>
      </c>
      <c r="B183" s="19">
        <v>46082</v>
      </c>
      <c r="C183" s="23">
        <v>173</v>
      </c>
      <c r="D183" s="23" t="s">
        <v>680</v>
      </c>
      <c r="E183" s="23" t="s">
        <v>126</v>
      </c>
      <c r="F183" s="23">
        <v>9</v>
      </c>
      <c r="G183" s="23">
        <v>35</v>
      </c>
      <c r="H183" s="23" t="s">
        <v>603</v>
      </c>
    </row>
    <row r="184" spans="1:8" x14ac:dyDescent="0.25">
      <c r="A184" s="23">
        <v>1173</v>
      </c>
      <c r="B184" s="19">
        <v>46083</v>
      </c>
      <c r="C184" s="23">
        <v>174</v>
      </c>
      <c r="D184" s="23" t="s">
        <v>693</v>
      </c>
      <c r="E184" s="23" t="s">
        <v>137</v>
      </c>
      <c r="F184" s="23">
        <v>2</v>
      </c>
      <c r="G184" s="23">
        <v>5</v>
      </c>
      <c r="H184" s="23" t="s">
        <v>450</v>
      </c>
    </row>
    <row r="185" spans="1:8" x14ac:dyDescent="0.25">
      <c r="A185" s="23">
        <v>1174</v>
      </c>
      <c r="B185" s="19">
        <v>46084</v>
      </c>
      <c r="C185" s="23">
        <v>175</v>
      </c>
      <c r="D185" s="23" t="s">
        <v>690</v>
      </c>
      <c r="E185" s="23" t="s">
        <v>126</v>
      </c>
      <c r="F185" s="23">
        <v>2</v>
      </c>
      <c r="G185" s="23">
        <v>33</v>
      </c>
      <c r="H185" s="23" t="s">
        <v>593</v>
      </c>
    </row>
    <row r="186" spans="1:8" x14ac:dyDescent="0.25">
      <c r="A186" s="23">
        <v>1175</v>
      </c>
      <c r="B186" s="19">
        <v>46085</v>
      </c>
      <c r="C186" s="23">
        <v>176</v>
      </c>
      <c r="D186" s="23" t="s">
        <v>688</v>
      </c>
      <c r="E186" s="23" t="s">
        <v>137</v>
      </c>
      <c r="F186" s="23">
        <v>10</v>
      </c>
      <c r="G186" s="23">
        <v>2</v>
      </c>
      <c r="H186" s="23" t="s">
        <v>432</v>
      </c>
    </row>
    <row r="187" spans="1:8" x14ac:dyDescent="0.25">
      <c r="A187" s="23">
        <v>1176</v>
      </c>
      <c r="B187" s="19">
        <v>46086</v>
      </c>
      <c r="C187" s="23">
        <v>177</v>
      </c>
      <c r="D187" s="23" t="s">
        <v>691</v>
      </c>
      <c r="E187" s="23" t="s">
        <v>138</v>
      </c>
      <c r="F187" s="23">
        <v>7</v>
      </c>
      <c r="G187" s="23">
        <v>43</v>
      </c>
      <c r="H187" s="23" t="s">
        <v>642</v>
      </c>
    </row>
    <row r="188" spans="1:8" x14ac:dyDescent="0.25">
      <c r="A188" s="23">
        <v>1177</v>
      </c>
      <c r="B188" s="19">
        <v>46087</v>
      </c>
      <c r="C188" s="23">
        <v>178</v>
      </c>
      <c r="D188" s="23" t="s">
        <v>687</v>
      </c>
      <c r="E188" s="23" t="s">
        <v>126</v>
      </c>
      <c r="F188" s="23">
        <v>1</v>
      </c>
      <c r="G188" s="23">
        <v>20</v>
      </c>
      <c r="H188" s="23" t="s">
        <v>526</v>
      </c>
    </row>
    <row r="189" spans="1:8" x14ac:dyDescent="0.25">
      <c r="A189" s="23">
        <v>1178</v>
      </c>
      <c r="B189" s="19">
        <v>46088</v>
      </c>
      <c r="C189" s="23">
        <v>179</v>
      </c>
      <c r="D189" s="23" t="s">
        <v>692</v>
      </c>
      <c r="E189" s="23" t="s">
        <v>136</v>
      </c>
      <c r="F189" s="23">
        <v>3</v>
      </c>
      <c r="G189" s="23">
        <v>39</v>
      </c>
      <c r="H189" s="23" t="s">
        <v>622</v>
      </c>
    </row>
    <row r="190" spans="1:8" x14ac:dyDescent="0.25">
      <c r="A190" s="23">
        <v>1179</v>
      </c>
      <c r="B190" s="19">
        <v>46089</v>
      </c>
      <c r="C190" s="23">
        <v>180</v>
      </c>
      <c r="D190" s="23" t="s">
        <v>689</v>
      </c>
      <c r="E190" s="23" t="s">
        <v>137</v>
      </c>
      <c r="F190" s="23">
        <v>7</v>
      </c>
      <c r="G190" s="23">
        <v>49</v>
      </c>
      <c r="H190" s="23" t="s">
        <v>670</v>
      </c>
    </row>
    <row r="191" spans="1:8" x14ac:dyDescent="0.25">
      <c r="A191" s="23">
        <v>1180</v>
      </c>
      <c r="B191" s="19">
        <v>46090</v>
      </c>
      <c r="C191" s="23">
        <v>181</v>
      </c>
      <c r="D191" s="23" t="s">
        <v>679</v>
      </c>
      <c r="E191" s="23" t="s">
        <v>136</v>
      </c>
      <c r="F191" s="23">
        <v>9</v>
      </c>
      <c r="G191" s="23">
        <v>45</v>
      </c>
      <c r="H191" s="23" t="s">
        <v>652</v>
      </c>
    </row>
    <row r="192" spans="1:8" x14ac:dyDescent="0.25">
      <c r="A192" s="23">
        <v>1181</v>
      </c>
      <c r="B192" s="19">
        <v>46091</v>
      </c>
      <c r="C192" s="23">
        <v>182</v>
      </c>
      <c r="D192" s="23" t="s">
        <v>681</v>
      </c>
      <c r="E192" s="23" t="s">
        <v>136</v>
      </c>
      <c r="F192" s="23">
        <v>6</v>
      </c>
      <c r="G192" s="23">
        <v>48</v>
      </c>
      <c r="H192" s="23" t="s">
        <v>666</v>
      </c>
    </row>
    <row r="193" spans="1:8" x14ac:dyDescent="0.25">
      <c r="A193" s="23">
        <v>1182</v>
      </c>
      <c r="B193" s="19">
        <v>46092</v>
      </c>
      <c r="C193" s="23">
        <v>183</v>
      </c>
      <c r="D193" s="23" t="s">
        <v>680</v>
      </c>
      <c r="E193" s="23" t="s">
        <v>136</v>
      </c>
      <c r="F193" s="23">
        <v>9</v>
      </c>
      <c r="G193" s="23">
        <v>38</v>
      </c>
      <c r="H193" s="23" t="s">
        <v>617</v>
      </c>
    </row>
    <row r="194" spans="1:8" x14ac:dyDescent="0.25">
      <c r="A194" s="23">
        <v>1183</v>
      </c>
      <c r="B194" s="19">
        <v>46093</v>
      </c>
      <c r="C194" s="23">
        <v>184</v>
      </c>
      <c r="D194" s="23" t="s">
        <v>693</v>
      </c>
      <c r="E194" s="23" t="s">
        <v>136</v>
      </c>
      <c r="F194" s="23">
        <v>1</v>
      </c>
      <c r="G194" s="23">
        <v>36</v>
      </c>
      <c r="H194" s="23" t="s">
        <v>607</v>
      </c>
    </row>
    <row r="195" spans="1:8" x14ac:dyDescent="0.25">
      <c r="A195" s="23">
        <v>1184</v>
      </c>
      <c r="B195" s="19">
        <v>46094</v>
      </c>
      <c r="C195" s="23">
        <v>185</v>
      </c>
      <c r="D195" s="23" t="s">
        <v>697</v>
      </c>
      <c r="E195" s="23" t="s">
        <v>136</v>
      </c>
      <c r="F195" s="23">
        <v>10</v>
      </c>
      <c r="G195" s="23">
        <v>31</v>
      </c>
      <c r="H195" s="23" t="s">
        <v>583</v>
      </c>
    </row>
    <row r="196" spans="1:8" x14ac:dyDescent="0.25">
      <c r="A196" s="23">
        <v>1185</v>
      </c>
      <c r="B196" s="19">
        <v>46095</v>
      </c>
      <c r="C196" s="23">
        <v>186</v>
      </c>
      <c r="D196" s="23" t="s">
        <v>680</v>
      </c>
      <c r="E196" s="23" t="s">
        <v>137</v>
      </c>
      <c r="F196" s="23">
        <v>2</v>
      </c>
      <c r="G196" s="23">
        <v>47</v>
      </c>
      <c r="H196" s="23" t="s">
        <v>661</v>
      </c>
    </row>
    <row r="197" spans="1:8" x14ac:dyDescent="0.25">
      <c r="A197" s="23">
        <v>1186</v>
      </c>
      <c r="B197" s="19">
        <v>46096</v>
      </c>
      <c r="C197" s="23">
        <v>187</v>
      </c>
      <c r="D197" s="23" t="s">
        <v>689</v>
      </c>
      <c r="E197" s="23" t="s">
        <v>138</v>
      </c>
      <c r="F197" s="23">
        <v>5</v>
      </c>
      <c r="G197" s="23">
        <v>43</v>
      </c>
      <c r="H197" s="23" t="s">
        <v>642</v>
      </c>
    </row>
    <row r="198" spans="1:8" x14ac:dyDescent="0.25">
      <c r="A198" s="23">
        <v>1187</v>
      </c>
      <c r="B198" s="19">
        <v>46097</v>
      </c>
      <c r="C198" s="23">
        <v>188</v>
      </c>
      <c r="D198" s="23" t="s">
        <v>682</v>
      </c>
      <c r="E198" s="23" t="s">
        <v>137</v>
      </c>
      <c r="F198" s="23">
        <v>6</v>
      </c>
      <c r="G198" s="23">
        <v>1</v>
      </c>
      <c r="H198" s="23" t="s">
        <v>426</v>
      </c>
    </row>
    <row r="199" spans="1:8" x14ac:dyDescent="0.25">
      <c r="A199" s="23">
        <v>1188</v>
      </c>
      <c r="B199" s="19">
        <v>46098</v>
      </c>
      <c r="C199" s="23">
        <v>189</v>
      </c>
      <c r="D199" s="23" t="s">
        <v>693</v>
      </c>
      <c r="E199" s="23" t="s">
        <v>126</v>
      </c>
      <c r="F199" s="23">
        <v>9</v>
      </c>
      <c r="G199" s="23">
        <v>10</v>
      </c>
      <c r="H199" s="23" t="s">
        <v>476</v>
      </c>
    </row>
    <row r="200" spans="1:8" x14ac:dyDescent="0.25">
      <c r="A200" s="23">
        <v>1189</v>
      </c>
      <c r="B200" s="19">
        <v>46099</v>
      </c>
      <c r="C200" s="23">
        <v>190</v>
      </c>
      <c r="D200" s="23" t="s">
        <v>695</v>
      </c>
      <c r="E200" s="23" t="s">
        <v>138</v>
      </c>
      <c r="F200" s="23">
        <v>4</v>
      </c>
      <c r="G200" s="23">
        <v>10</v>
      </c>
      <c r="H200" s="23" t="s">
        <v>476</v>
      </c>
    </row>
    <row r="201" spans="1:8" x14ac:dyDescent="0.25">
      <c r="A201" s="23">
        <v>1190</v>
      </c>
      <c r="B201" s="19">
        <v>46100</v>
      </c>
      <c r="C201" s="23">
        <v>191</v>
      </c>
      <c r="D201" s="23" t="s">
        <v>679</v>
      </c>
      <c r="E201" s="23" t="s">
        <v>126</v>
      </c>
      <c r="F201" s="23">
        <v>2</v>
      </c>
      <c r="G201" s="23">
        <v>28</v>
      </c>
      <c r="H201" s="23" t="s">
        <v>567</v>
      </c>
    </row>
    <row r="202" spans="1:8" x14ac:dyDescent="0.25">
      <c r="A202" s="23">
        <v>1191</v>
      </c>
      <c r="B202" s="19">
        <v>46101</v>
      </c>
      <c r="C202" s="23">
        <v>192</v>
      </c>
      <c r="D202" s="23" t="s">
        <v>695</v>
      </c>
      <c r="E202" s="23" t="s">
        <v>137</v>
      </c>
      <c r="F202" s="23">
        <v>4</v>
      </c>
      <c r="G202" s="23">
        <v>15</v>
      </c>
      <c r="H202" s="23" t="s">
        <v>502</v>
      </c>
    </row>
    <row r="203" spans="1:8" x14ac:dyDescent="0.25">
      <c r="A203" s="23">
        <v>1192</v>
      </c>
      <c r="B203" s="19">
        <v>46102</v>
      </c>
      <c r="C203" s="23">
        <v>193</v>
      </c>
      <c r="D203" s="23" t="s">
        <v>694</v>
      </c>
      <c r="E203" s="23" t="s">
        <v>137</v>
      </c>
      <c r="F203" s="23">
        <v>8</v>
      </c>
      <c r="G203" s="23">
        <v>6</v>
      </c>
      <c r="H203" s="23" t="s">
        <v>456</v>
      </c>
    </row>
    <row r="204" spans="1:8" x14ac:dyDescent="0.25">
      <c r="A204" s="23">
        <v>1193</v>
      </c>
      <c r="B204" s="19">
        <v>46103</v>
      </c>
      <c r="C204" s="23">
        <v>194</v>
      </c>
      <c r="D204" s="23" t="s">
        <v>684</v>
      </c>
      <c r="E204" s="23" t="s">
        <v>137</v>
      </c>
      <c r="F204" s="23">
        <v>9</v>
      </c>
      <c r="G204" s="23">
        <v>43</v>
      </c>
      <c r="H204" s="23" t="s">
        <v>642</v>
      </c>
    </row>
    <row r="205" spans="1:8" x14ac:dyDescent="0.25">
      <c r="A205" s="23">
        <v>1194</v>
      </c>
      <c r="B205" s="19">
        <v>46104</v>
      </c>
      <c r="C205" s="23">
        <v>195</v>
      </c>
      <c r="D205" s="23" t="s">
        <v>688</v>
      </c>
      <c r="E205" s="23" t="s">
        <v>138</v>
      </c>
      <c r="F205" s="23">
        <v>5</v>
      </c>
      <c r="G205" s="23">
        <v>6</v>
      </c>
      <c r="H205" s="23" t="s">
        <v>456</v>
      </c>
    </row>
    <row r="206" spans="1:8" x14ac:dyDescent="0.25">
      <c r="A206" s="23">
        <v>1195</v>
      </c>
      <c r="B206" s="19">
        <v>46105</v>
      </c>
      <c r="C206" s="23">
        <v>196</v>
      </c>
      <c r="D206" s="23" t="s">
        <v>697</v>
      </c>
      <c r="E206" s="23" t="s">
        <v>126</v>
      </c>
      <c r="F206" s="23">
        <v>3</v>
      </c>
      <c r="G206" s="23">
        <v>18</v>
      </c>
      <c r="H206" s="23" t="s">
        <v>517</v>
      </c>
    </row>
    <row r="207" spans="1:8" x14ac:dyDescent="0.25">
      <c r="A207" s="23">
        <v>1196</v>
      </c>
      <c r="B207" s="19">
        <v>45910</v>
      </c>
      <c r="C207" s="23">
        <v>197</v>
      </c>
      <c r="D207" s="23" t="s">
        <v>683</v>
      </c>
      <c r="E207" s="23" t="s">
        <v>126</v>
      </c>
      <c r="F207" s="23">
        <v>1</v>
      </c>
      <c r="G207" s="23">
        <v>27</v>
      </c>
      <c r="H207" s="23" t="s">
        <v>562</v>
      </c>
    </row>
    <row r="208" spans="1:8" x14ac:dyDescent="0.25">
      <c r="A208" s="23">
        <v>1197</v>
      </c>
      <c r="B208" s="19">
        <v>45910</v>
      </c>
      <c r="C208" s="23">
        <v>198</v>
      </c>
      <c r="D208" s="23" t="s">
        <v>686</v>
      </c>
      <c r="E208" s="23" t="s">
        <v>126</v>
      </c>
      <c r="F208" s="23">
        <v>8</v>
      </c>
      <c r="G208" s="23">
        <v>11</v>
      </c>
      <c r="H208" s="23" t="s">
        <v>481</v>
      </c>
    </row>
    <row r="209" spans="1:8" x14ac:dyDescent="0.25">
      <c r="A209" s="23">
        <v>1198</v>
      </c>
      <c r="B209" s="19">
        <v>45910</v>
      </c>
      <c r="C209" s="23">
        <v>199</v>
      </c>
      <c r="D209" s="23" t="s">
        <v>694</v>
      </c>
      <c r="E209" s="23" t="s">
        <v>137</v>
      </c>
      <c r="F209" s="23">
        <v>5</v>
      </c>
      <c r="G209" s="23">
        <v>47</v>
      </c>
      <c r="H209" s="23" t="s">
        <v>661</v>
      </c>
    </row>
    <row r="210" spans="1:8" x14ac:dyDescent="0.25">
      <c r="A210" s="23">
        <v>1199</v>
      </c>
      <c r="B210" s="19">
        <v>45910</v>
      </c>
      <c r="C210" s="23">
        <v>200</v>
      </c>
      <c r="D210" s="23" t="s">
        <v>697</v>
      </c>
      <c r="E210" s="23" t="s">
        <v>126</v>
      </c>
      <c r="F210" s="23">
        <v>7</v>
      </c>
      <c r="G210" s="23">
        <v>46</v>
      </c>
      <c r="H210" s="23" t="s">
        <v>657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4435-FC1D-4612-B80B-22A92BA342DB}">
  <sheetPr codeName="Planilha4"/>
  <dimension ref="A1:F82"/>
  <sheetViews>
    <sheetView topLeftCell="A58" zoomScale="110" workbookViewId="0">
      <selection activeCell="E41" sqref="E41"/>
    </sheetView>
  </sheetViews>
  <sheetFormatPr defaultRowHeight="15" x14ac:dyDescent="0.25"/>
  <cols>
    <col min="1" max="1" width="19.42578125" customWidth="1"/>
    <col min="2" max="2" width="28.42578125" customWidth="1"/>
    <col min="3" max="3" width="22" customWidth="1"/>
    <col min="4" max="4" width="17" customWidth="1"/>
    <col min="5" max="5" width="11.42578125" customWidth="1"/>
    <col min="6" max="6" width="83.42578125" customWidth="1"/>
  </cols>
  <sheetData>
    <row r="1" spans="1:6" x14ac:dyDescent="0.25">
      <c r="A1" s="2" t="s">
        <v>4</v>
      </c>
      <c r="B1" s="6" t="s">
        <v>67</v>
      </c>
    </row>
    <row r="2" spans="1:6" x14ac:dyDescent="0.25">
      <c r="A2" s="3" t="s">
        <v>5</v>
      </c>
      <c r="B2" s="6" t="s">
        <v>68</v>
      </c>
      <c r="E2" t="s">
        <v>6</v>
      </c>
    </row>
    <row r="3" spans="1:6" x14ac:dyDescent="0.25">
      <c r="A3" s="3" t="s">
        <v>3</v>
      </c>
      <c r="B3" s="6" t="s">
        <v>69</v>
      </c>
    </row>
    <row r="4" spans="1:6" x14ac:dyDescent="0.25">
      <c r="A4" s="3" t="s">
        <v>2</v>
      </c>
      <c r="B4" s="6" t="s">
        <v>70</v>
      </c>
      <c r="E4" t="s">
        <v>7</v>
      </c>
    </row>
    <row r="5" spans="1:6" x14ac:dyDescent="0.25">
      <c r="A5" s="3" t="s">
        <v>0</v>
      </c>
      <c r="B5" s="6" t="s">
        <v>71</v>
      </c>
    </row>
    <row r="6" spans="1:6" x14ac:dyDescent="0.25">
      <c r="A6" s="3" t="s">
        <v>1</v>
      </c>
      <c r="B6" s="6" t="s">
        <v>72</v>
      </c>
      <c r="E6" t="s">
        <v>8</v>
      </c>
    </row>
    <row r="8" spans="1:6" x14ac:dyDescent="0.25">
      <c r="A8" s="2" t="s">
        <v>4</v>
      </c>
      <c r="B8" s="3" t="s">
        <v>5</v>
      </c>
      <c r="C8" s="3" t="s">
        <v>3</v>
      </c>
      <c r="D8" s="3" t="s">
        <v>2</v>
      </c>
      <c r="E8" s="3" t="s">
        <v>0</v>
      </c>
      <c r="F8" s="3" t="s">
        <v>1</v>
      </c>
    </row>
    <row r="9" spans="1:6" x14ac:dyDescent="0.25">
      <c r="A9" s="4" t="s">
        <v>73</v>
      </c>
      <c r="B9" s="5" t="s">
        <v>74</v>
      </c>
      <c r="C9" s="5" t="s">
        <v>75</v>
      </c>
      <c r="D9" s="5" t="s">
        <v>76</v>
      </c>
      <c r="E9" s="5" t="s">
        <v>77</v>
      </c>
      <c r="F9" s="5" t="s">
        <v>78</v>
      </c>
    </row>
    <row r="10" spans="1:6" x14ac:dyDescent="0.25">
      <c r="A10" s="4" t="s">
        <v>67</v>
      </c>
      <c r="B10" s="5" t="s">
        <v>68</v>
      </c>
      <c r="C10" s="5" t="s">
        <v>69</v>
      </c>
      <c r="D10" s="5" t="s">
        <v>70</v>
      </c>
      <c r="E10" s="5" t="s">
        <v>71</v>
      </c>
      <c r="F10" s="5" t="s">
        <v>72</v>
      </c>
    </row>
    <row r="11" spans="1:6" x14ac:dyDescent="0.25">
      <c r="A11" s="4" t="s">
        <v>61</v>
      </c>
      <c r="B11" s="5" t="s">
        <v>62</v>
      </c>
      <c r="C11" s="5" t="s">
        <v>63</v>
      </c>
      <c r="D11" s="5" t="s">
        <v>64</v>
      </c>
      <c r="E11" s="5" t="s">
        <v>65</v>
      </c>
      <c r="F11" s="5" t="s">
        <v>66</v>
      </c>
    </row>
    <row r="12" spans="1:6" x14ac:dyDescent="0.25">
      <c r="A12" s="4" t="s">
        <v>55</v>
      </c>
      <c r="B12" s="5" t="s">
        <v>56</v>
      </c>
      <c r="C12" s="5" t="s">
        <v>57</v>
      </c>
      <c r="D12" s="5" t="s">
        <v>58</v>
      </c>
      <c r="E12" s="5" t="s">
        <v>59</v>
      </c>
      <c r="F12" s="5" t="s">
        <v>60</v>
      </c>
    </row>
    <row r="13" spans="1:6" x14ac:dyDescent="0.25">
      <c r="A13" s="4" t="s">
        <v>49</v>
      </c>
      <c r="B13" s="5" t="s">
        <v>50</v>
      </c>
      <c r="C13" s="5" t="s">
        <v>51</v>
      </c>
      <c r="D13" s="5" t="s">
        <v>52</v>
      </c>
      <c r="E13" s="5" t="s">
        <v>53</v>
      </c>
      <c r="F13" s="5" t="s">
        <v>54</v>
      </c>
    </row>
    <row r="14" spans="1:6" x14ac:dyDescent="0.25">
      <c r="A14" s="4" t="s">
        <v>43</v>
      </c>
      <c r="B14" s="5" t="s">
        <v>44</v>
      </c>
      <c r="C14" s="5" t="s">
        <v>45</v>
      </c>
      <c r="D14" s="5" t="s">
        <v>46</v>
      </c>
      <c r="E14" s="5" t="s">
        <v>47</v>
      </c>
      <c r="F14" s="5" t="s">
        <v>48</v>
      </c>
    </row>
    <row r="15" spans="1:6" x14ac:dyDescent="0.25">
      <c r="A15" s="4" t="s">
        <v>37</v>
      </c>
      <c r="B15" s="5" t="s">
        <v>38</v>
      </c>
      <c r="C15" s="5" t="s">
        <v>39</v>
      </c>
      <c r="D15" s="5" t="s">
        <v>40</v>
      </c>
      <c r="E15" s="5" t="s">
        <v>41</v>
      </c>
      <c r="F15" s="5" t="s">
        <v>42</v>
      </c>
    </row>
    <row r="16" spans="1:6" x14ac:dyDescent="0.25">
      <c r="A16" s="4" t="s">
        <v>32</v>
      </c>
      <c r="B16" s="5" t="s">
        <v>33</v>
      </c>
      <c r="C16" s="5" t="s">
        <v>34</v>
      </c>
      <c r="D16" s="5" t="s">
        <v>35</v>
      </c>
      <c r="E16" s="5" t="s">
        <v>9</v>
      </c>
      <c r="F16" s="5" t="s">
        <v>36</v>
      </c>
    </row>
    <row r="17" spans="1:6" x14ac:dyDescent="0.25">
      <c r="A17" s="4" t="s">
        <v>26</v>
      </c>
      <c r="B17" s="5" t="s">
        <v>27</v>
      </c>
      <c r="C17" s="5" t="s">
        <v>28</v>
      </c>
      <c r="D17" s="5" t="s">
        <v>29</v>
      </c>
      <c r="E17" s="5" t="s">
        <v>30</v>
      </c>
      <c r="F17" s="5" t="s">
        <v>31</v>
      </c>
    </row>
    <row r="18" spans="1:6" x14ac:dyDescent="0.25">
      <c r="A18" s="4" t="s">
        <v>20</v>
      </c>
      <c r="B18" s="5" t="s">
        <v>21</v>
      </c>
      <c r="C18" s="5" t="s">
        <v>22</v>
      </c>
      <c r="D18" s="5" t="s">
        <v>23</v>
      </c>
      <c r="E18" s="5" t="s">
        <v>24</v>
      </c>
      <c r="F18" s="5" t="s">
        <v>25</v>
      </c>
    </row>
    <row r="19" spans="1:6" x14ac:dyDescent="0.25">
      <c r="A19" s="4" t="s">
        <v>15</v>
      </c>
      <c r="B19" s="5" t="s">
        <v>16</v>
      </c>
      <c r="C19" s="5" t="s">
        <v>17</v>
      </c>
      <c r="D19" s="5" t="s">
        <v>18</v>
      </c>
      <c r="E19" s="5" t="s">
        <v>9</v>
      </c>
      <c r="F19" s="5" t="s">
        <v>19</v>
      </c>
    </row>
    <row r="20" spans="1:6" x14ac:dyDescent="0.25">
      <c r="A20" s="4" t="s">
        <v>11</v>
      </c>
      <c r="B20" s="5" t="s">
        <v>10</v>
      </c>
      <c r="C20" s="5" t="s">
        <v>12</v>
      </c>
      <c r="D20" s="5" t="s">
        <v>13</v>
      </c>
      <c r="E20" s="5" t="s">
        <v>9</v>
      </c>
      <c r="F20" s="5" t="s">
        <v>14</v>
      </c>
    </row>
    <row r="21" spans="1:6" x14ac:dyDescent="0.25">
      <c r="A21" s="7" t="s">
        <v>82</v>
      </c>
      <c r="B21" s="7" t="s">
        <v>83</v>
      </c>
      <c r="C21" s="7" t="s">
        <v>84</v>
      </c>
      <c r="D21" s="7" t="s">
        <v>85</v>
      </c>
      <c r="E21" s="7" t="s">
        <v>9</v>
      </c>
      <c r="F21" s="7" t="s">
        <v>86</v>
      </c>
    </row>
    <row r="22" spans="1:6" x14ac:dyDescent="0.25">
      <c r="A22" s="7" t="s">
        <v>87</v>
      </c>
      <c r="B22" s="7" t="s">
        <v>88</v>
      </c>
      <c r="C22" s="7" t="s">
        <v>89</v>
      </c>
      <c r="D22" s="7" t="s">
        <v>90</v>
      </c>
      <c r="E22" s="7" t="s">
        <v>91</v>
      </c>
      <c r="F22" s="7" t="s">
        <v>92</v>
      </c>
    </row>
    <row r="23" spans="1:6" x14ac:dyDescent="0.25">
      <c r="A23" s="7" t="s">
        <v>73</v>
      </c>
      <c r="B23" s="7" t="s">
        <v>74</v>
      </c>
      <c r="C23" s="7" t="s">
        <v>75</v>
      </c>
      <c r="D23" s="7" t="s">
        <v>76</v>
      </c>
      <c r="E23" s="7" t="s">
        <v>77</v>
      </c>
      <c r="F23" s="7" t="s">
        <v>78</v>
      </c>
    </row>
    <row r="24" spans="1:6" x14ac:dyDescent="0.25">
      <c r="A24" s="7" t="s">
        <v>49</v>
      </c>
      <c r="B24" s="7" t="s">
        <v>50</v>
      </c>
      <c r="C24" s="7" t="s">
        <v>51</v>
      </c>
      <c r="D24" s="7" t="s">
        <v>52</v>
      </c>
      <c r="E24" s="7" t="s">
        <v>53</v>
      </c>
      <c r="F24" s="7" t="s">
        <v>54</v>
      </c>
    </row>
    <row r="25" spans="1:6" x14ac:dyDescent="0.25">
      <c r="A25" s="7" t="s">
        <v>93</v>
      </c>
      <c r="B25" s="7" t="s">
        <v>94</v>
      </c>
      <c r="C25" s="7" t="s">
        <v>95</v>
      </c>
      <c r="D25" s="7" t="s">
        <v>96</v>
      </c>
      <c r="E25" s="7" t="s">
        <v>97</v>
      </c>
      <c r="F25" s="7" t="s">
        <v>98</v>
      </c>
    </row>
    <row r="26" spans="1:6" x14ac:dyDescent="0.25">
      <c r="A26" s="7" t="s">
        <v>99</v>
      </c>
      <c r="B26" s="7" t="s">
        <v>100</v>
      </c>
      <c r="C26" s="7" t="s">
        <v>101</v>
      </c>
      <c r="D26" s="7" t="s">
        <v>102</v>
      </c>
      <c r="E26" s="7" t="s">
        <v>103</v>
      </c>
      <c r="F26" s="7" t="s">
        <v>104</v>
      </c>
    </row>
    <row r="27" spans="1:6" x14ac:dyDescent="0.25">
      <c r="A27" s="7" t="s">
        <v>43</v>
      </c>
      <c r="B27" s="7" t="s">
        <v>44</v>
      </c>
      <c r="C27" s="7" t="s">
        <v>45</v>
      </c>
      <c r="D27" s="7" t="s">
        <v>46</v>
      </c>
      <c r="E27" s="7" t="s">
        <v>47</v>
      </c>
      <c r="F27" s="7" t="s">
        <v>48</v>
      </c>
    </row>
    <row r="28" spans="1:6" x14ac:dyDescent="0.25">
      <c r="A28" s="7" t="s">
        <v>105</v>
      </c>
      <c r="B28" s="7" t="s">
        <v>106</v>
      </c>
      <c r="C28" s="7" t="s">
        <v>107</v>
      </c>
      <c r="D28" s="7" t="s">
        <v>108</v>
      </c>
      <c r="E28" s="7" t="s">
        <v>109</v>
      </c>
      <c r="F28" s="7" t="s">
        <v>110</v>
      </c>
    </row>
    <row r="29" spans="1:6" x14ac:dyDescent="0.25">
      <c r="A29" s="1" t="s">
        <v>425</v>
      </c>
      <c r="B29" s="1" t="s">
        <v>426</v>
      </c>
      <c r="C29" s="1" t="s">
        <v>427</v>
      </c>
      <c r="D29" s="1" t="s">
        <v>428</v>
      </c>
      <c r="E29" s="1" t="s">
        <v>429</v>
      </c>
      <c r="F29" s="1" t="s">
        <v>430</v>
      </c>
    </row>
    <row r="30" spans="1:6" x14ac:dyDescent="0.25">
      <c r="A30" s="1" t="s">
        <v>431</v>
      </c>
      <c r="B30" s="1" t="s">
        <v>432</v>
      </c>
      <c r="C30" s="1" t="s">
        <v>433</v>
      </c>
      <c r="D30" s="1" t="s">
        <v>434</v>
      </c>
      <c r="E30" s="1" t="s">
        <v>435</v>
      </c>
      <c r="F30" s="1" t="s">
        <v>436</v>
      </c>
    </row>
    <row r="31" spans="1:6" x14ac:dyDescent="0.25">
      <c r="A31" s="1" t="s">
        <v>437</v>
      </c>
      <c r="B31" s="1" t="s">
        <v>438</v>
      </c>
      <c r="C31" s="1" t="s">
        <v>439</v>
      </c>
      <c r="D31" s="1" t="s">
        <v>440</v>
      </c>
      <c r="E31" s="1" t="s">
        <v>441</v>
      </c>
      <c r="F31" s="1" t="s">
        <v>442</v>
      </c>
    </row>
    <row r="32" spans="1:6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447</v>
      </c>
      <c r="F32" s="1" t="s">
        <v>448</v>
      </c>
    </row>
    <row r="33" spans="1:6" x14ac:dyDescent="0.25">
      <c r="A33" s="1" t="s">
        <v>449</v>
      </c>
      <c r="B33" s="1" t="s">
        <v>450</v>
      </c>
      <c r="C33" s="1" t="s">
        <v>451</v>
      </c>
      <c r="D33" s="1" t="s">
        <v>452</v>
      </c>
      <c r="E33" s="1" t="s">
        <v>453</v>
      </c>
      <c r="F33" s="1" t="s">
        <v>454</v>
      </c>
    </row>
    <row r="34" spans="1:6" x14ac:dyDescent="0.25">
      <c r="A34" s="1" t="s">
        <v>455</v>
      </c>
      <c r="B34" s="1" t="s">
        <v>456</v>
      </c>
      <c r="C34" s="1" t="s">
        <v>457</v>
      </c>
      <c r="D34" s="1" t="s">
        <v>458</v>
      </c>
      <c r="E34" s="1" t="s">
        <v>453</v>
      </c>
      <c r="F34" s="1" t="s">
        <v>459</v>
      </c>
    </row>
    <row r="35" spans="1:6" x14ac:dyDescent="0.25">
      <c r="A35" s="1" t="s">
        <v>460</v>
      </c>
      <c r="B35" s="1" t="s">
        <v>461</v>
      </c>
      <c r="C35" s="1" t="s">
        <v>462</v>
      </c>
      <c r="D35" s="1" t="s">
        <v>463</v>
      </c>
      <c r="E35" s="1" t="s">
        <v>429</v>
      </c>
      <c r="F35" s="1" t="s">
        <v>464</v>
      </c>
    </row>
    <row r="36" spans="1:6" x14ac:dyDescent="0.25">
      <c r="A36" s="1" t="s">
        <v>465</v>
      </c>
      <c r="B36" s="1" t="s">
        <v>466</v>
      </c>
      <c r="C36" s="1" t="s">
        <v>467</v>
      </c>
      <c r="D36" s="1" t="s">
        <v>468</v>
      </c>
      <c r="E36" s="1" t="s">
        <v>47</v>
      </c>
      <c r="F36" s="1" t="s">
        <v>469</v>
      </c>
    </row>
    <row r="37" spans="1:6" x14ac:dyDescent="0.25">
      <c r="A37" s="1" t="s">
        <v>470</v>
      </c>
      <c r="B37" s="1" t="s">
        <v>471</v>
      </c>
      <c r="C37" s="1" t="s">
        <v>472</v>
      </c>
      <c r="D37" s="1" t="s">
        <v>473</v>
      </c>
      <c r="E37" s="1" t="s">
        <v>59</v>
      </c>
      <c r="F37" s="1" t="s">
        <v>474</v>
      </c>
    </row>
    <row r="38" spans="1:6" x14ac:dyDescent="0.25">
      <c r="A38" s="1" t="s">
        <v>475</v>
      </c>
      <c r="B38" s="1" t="s">
        <v>476</v>
      </c>
      <c r="C38" s="1" t="s">
        <v>477</v>
      </c>
      <c r="D38" s="1" t="s">
        <v>478</v>
      </c>
      <c r="E38" s="1" t="s">
        <v>47</v>
      </c>
      <c r="F38" s="1" t="s">
        <v>479</v>
      </c>
    </row>
    <row r="39" spans="1:6" x14ac:dyDescent="0.25">
      <c r="A39" s="1" t="s">
        <v>480</v>
      </c>
      <c r="B39" s="1" t="s">
        <v>481</v>
      </c>
      <c r="C39" s="1" t="s">
        <v>482</v>
      </c>
      <c r="D39" s="1" t="s">
        <v>483</v>
      </c>
      <c r="E39" s="1" t="s">
        <v>484</v>
      </c>
      <c r="F39" s="1" t="s">
        <v>485</v>
      </c>
    </row>
    <row r="40" spans="1:6" x14ac:dyDescent="0.25">
      <c r="A40" s="1" t="s">
        <v>486</v>
      </c>
      <c r="B40" s="1" t="s">
        <v>487</v>
      </c>
      <c r="C40" s="1" t="s">
        <v>488</v>
      </c>
      <c r="D40" s="1" t="s">
        <v>489</v>
      </c>
      <c r="E40" s="1" t="s">
        <v>24</v>
      </c>
      <c r="F40" s="1" t="s">
        <v>490</v>
      </c>
    </row>
    <row r="41" spans="1:6" x14ac:dyDescent="0.25">
      <c r="A41" s="1" t="s">
        <v>491</v>
      </c>
      <c r="B41" s="1" t="s">
        <v>492</v>
      </c>
      <c r="C41" s="1" t="s">
        <v>493</v>
      </c>
      <c r="D41" s="1" t="s">
        <v>494</v>
      </c>
      <c r="E41" s="1" t="s">
        <v>453</v>
      </c>
      <c r="F41" s="1" t="s">
        <v>495</v>
      </c>
    </row>
    <row r="42" spans="1:6" x14ac:dyDescent="0.25">
      <c r="A42" s="1" t="s">
        <v>496</v>
      </c>
      <c r="B42" s="1" t="s">
        <v>497</v>
      </c>
      <c r="C42" s="1" t="s">
        <v>498</v>
      </c>
      <c r="D42" s="1" t="s">
        <v>499</v>
      </c>
      <c r="E42" s="1" t="s">
        <v>109</v>
      </c>
      <c r="F42" s="1" t="s">
        <v>500</v>
      </c>
    </row>
    <row r="43" spans="1:6" x14ac:dyDescent="0.25">
      <c r="A43" s="1" t="s">
        <v>501</v>
      </c>
      <c r="B43" s="1" t="s">
        <v>502</v>
      </c>
      <c r="C43" s="1" t="s">
        <v>503</v>
      </c>
      <c r="D43" s="1" t="s">
        <v>504</v>
      </c>
      <c r="E43" s="1" t="s">
        <v>41</v>
      </c>
      <c r="F43" s="1" t="s">
        <v>505</v>
      </c>
    </row>
    <row r="44" spans="1:6" x14ac:dyDescent="0.25">
      <c r="A44" s="1" t="s">
        <v>506</v>
      </c>
      <c r="B44" s="1" t="s">
        <v>507</v>
      </c>
      <c r="C44" s="1" t="s">
        <v>508</v>
      </c>
      <c r="D44" s="1" t="s">
        <v>509</v>
      </c>
      <c r="E44" s="1" t="s">
        <v>484</v>
      </c>
      <c r="F44" s="1" t="s">
        <v>510</v>
      </c>
    </row>
    <row r="45" spans="1:6" x14ac:dyDescent="0.25">
      <c r="A45" s="1" t="s">
        <v>511</v>
      </c>
      <c r="B45" s="1" t="s">
        <v>512</v>
      </c>
      <c r="C45" s="1" t="s">
        <v>513</v>
      </c>
      <c r="D45" s="1" t="s">
        <v>514</v>
      </c>
      <c r="E45" s="1" t="s">
        <v>441</v>
      </c>
      <c r="F45" s="1" t="s">
        <v>515</v>
      </c>
    </row>
    <row r="46" spans="1:6" x14ac:dyDescent="0.25">
      <c r="A46" s="1" t="s">
        <v>516</v>
      </c>
      <c r="B46" s="1" t="s">
        <v>517</v>
      </c>
      <c r="C46" s="1" t="s">
        <v>518</v>
      </c>
      <c r="D46" s="1" t="s">
        <v>519</v>
      </c>
      <c r="E46" s="1" t="s">
        <v>441</v>
      </c>
      <c r="F46" s="1" t="s">
        <v>520</v>
      </c>
    </row>
    <row r="47" spans="1:6" x14ac:dyDescent="0.25">
      <c r="A47" s="1" t="s">
        <v>521</v>
      </c>
      <c r="B47" s="1" t="s">
        <v>522</v>
      </c>
      <c r="C47" s="1" t="s">
        <v>523</v>
      </c>
      <c r="D47" s="1" t="s">
        <v>494</v>
      </c>
      <c r="E47" s="1" t="s">
        <v>53</v>
      </c>
      <c r="F47" s="1" t="s">
        <v>524</v>
      </c>
    </row>
    <row r="48" spans="1:6" x14ac:dyDescent="0.25">
      <c r="A48" s="1" t="s">
        <v>525</v>
      </c>
      <c r="B48" s="1" t="s">
        <v>526</v>
      </c>
      <c r="C48" s="1" t="s">
        <v>527</v>
      </c>
      <c r="D48" s="1" t="s">
        <v>519</v>
      </c>
      <c r="E48" s="1" t="s">
        <v>71</v>
      </c>
      <c r="F48" s="1" t="s">
        <v>528</v>
      </c>
    </row>
    <row r="49" spans="1:6" x14ac:dyDescent="0.25">
      <c r="A49" s="1" t="s">
        <v>529</v>
      </c>
      <c r="B49" s="1" t="s">
        <v>530</v>
      </c>
      <c r="C49" s="1" t="s">
        <v>531</v>
      </c>
      <c r="D49" s="1" t="s">
        <v>532</v>
      </c>
      <c r="E49" s="1" t="s">
        <v>91</v>
      </c>
      <c r="F49" s="1" t="s">
        <v>533</v>
      </c>
    </row>
    <row r="50" spans="1:6" x14ac:dyDescent="0.25">
      <c r="A50" s="1" t="s">
        <v>534</v>
      </c>
      <c r="B50" s="1" t="s">
        <v>535</v>
      </c>
      <c r="C50" s="1" t="s">
        <v>536</v>
      </c>
      <c r="D50" s="1" t="s">
        <v>537</v>
      </c>
      <c r="E50" s="1" t="s">
        <v>71</v>
      </c>
      <c r="F50" s="1" t="s">
        <v>538</v>
      </c>
    </row>
    <row r="51" spans="1:6" x14ac:dyDescent="0.25">
      <c r="A51" s="1" t="s">
        <v>539</v>
      </c>
      <c r="B51" s="1" t="s">
        <v>540</v>
      </c>
      <c r="C51" s="1" t="s">
        <v>541</v>
      </c>
      <c r="D51" s="1" t="s">
        <v>542</v>
      </c>
      <c r="E51" s="1" t="s">
        <v>543</v>
      </c>
      <c r="F51" s="1" t="s">
        <v>544</v>
      </c>
    </row>
    <row r="52" spans="1:6" x14ac:dyDescent="0.25">
      <c r="A52" s="1" t="s">
        <v>545</v>
      </c>
      <c r="B52" s="1" t="s">
        <v>546</v>
      </c>
      <c r="C52" s="1" t="s">
        <v>547</v>
      </c>
      <c r="D52" s="1" t="s">
        <v>548</v>
      </c>
      <c r="E52" s="1" t="s">
        <v>549</v>
      </c>
      <c r="F52" s="1" t="s">
        <v>550</v>
      </c>
    </row>
    <row r="53" spans="1:6" x14ac:dyDescent="0.25">
      <c r="A53" s="1" t="s">
        <v>551</v>
      </c>
      <c r="B53" s="1" t="s">
        <v>552</v>
      </c>
      <c r="C53" s="1" t="s">
        <v>553</v>
      </c>
      <c r="D53" s="1" t="s">
        <v>554</v>
      </c>
      <c r="E53" s="1" t="s">
        <v>441</v>
      </c>
      <c r="F53" s="1" t="s">
        <v>555</v>
      </c>
    </row>
    <row r="54" spans="1:6" x14ac:dyDescent="0.25">
      <c r="A54" s="1" t="s">
        <v>556</v>
      </c>
      <c r="B54" s="1" t="s">
        <v>557</v>
      </c>
      <c r="C54" s="1" t="s">
        <v>558</v>
      </c>
      <c r="D54" s="1" t="s">
        <v>559</v>
      </c>
      <c r="E54" s="1" t="s">
        <v>9</v>
      </c>
      <c r="F54" s="1" t="s">
        <v>560</v>
      </c>
    </row>
    <row r="55" spans="1:6" x14ac:dyDescent="0.25">
      <c r="A55" s="1" t="s">
        <v>561</v>
      </c>
      <c r="B55" s="1" t="s">
        <v>562</v>
      </c>
      <c r="C55" s="1" t="s">
        <v>563</v>
      </c>
      <c r="D55" s="1" t="s">
        <v>564</v>
      </c>
      <c r="E55" s="1" t="s">
        <v>59</v>
      </c>
      <c r="F55" s="1" t="s">
        <v>565</v>
      </c>
    </row>
    <row r="56" spans="1:6" x14ac:dyDescent="0.25">
      <c r="A56" s="1" t="s">
        <v>566</v>
      </c>
      <c r="B56" s="1" t="s">
        <v>567</v>
      </c>
      <c r="C56" s="1" t="s">
        <v>568</v>
      </c>
      <c r="D56" s="1" t="s">
        <v>569</v>
      </c>
      <c r="E56" s="1" t="s">
        <v>570</v>
      </c>
      <c r="F56" s="1" t="s">
        <v>571</v>
      </c>
    </row>
    <row r="57" spans="1:6" x14ac:dyDescent="0.25">
      <c r="A57" s="1" t="s">
        <v>572</v>
      </c>
      <c r="B57" s="1" t="s">
        <v>573</v>
      </c>
      <c r="C57" s="1" t="s">
        <v>574</v>
      </c>
      <c r="D57" s="1" t="s">
        <v>575</v>
      </c>
      <c r="E57" s="1" t="s">
        <v>570</v>
      </c>
      <c r="F57" s="1" t="s">
        <v>576</v>
      </c>
    </row>
    <row r="58" spans="1:6" x14ac:dyDescent="0.25">
      <c r="A58" s="1" t="s">
        <v>577</v>
      </c>
      <c r="B58" s="1" t="s">
        <v>578</v>
      </c>
      <c r="C58" s="1" t="s">
        <v>579</v>
      </c>
      <c r="D58" s="1" t="s">
        <v>580</v>
      </c>
      <c r="E58" s="1" t="s">
        <v>435</v>
      </c>
      <c r="F58" s="1" t="s">
        <v>581</v>
      </c>
    </row>
    <row r="59" spans="1:6" x14ac:dyDescent="0.25">
      <c r="A59" s="1" t="s">
        <v>582</v>
      </c>
      <c r="B59" s="1" t="s">
        <v>583</v>
      </c>
      <c r="C59" s="1" t="s">
        <v>584</v>
      </c>
      <c r="D59" s="1" t="s">
        <v>585</v>
      </c>
      <c r="E59" s="1" t="s">
        <v>447</v>
      </c>
      <c r="F59" s="1" t="s">
        <v>586</v>
      </c>
    </row>
    <row r="60" spans="1:6" x14ac:dyDescent="0.25">
      <c r="A60" s="1" t="s">
        <v>587</v>
      </c>
      <c r="B60" s="1" t="s">
        <v>588</v>
      </c>
      <c r="C60" s="1" t="s">
        <v>589</v>
      </c>
      <c r="D60" s="1" t="s">
        <v>590</v>
      </c>
      <c r="E60" s="1" t="s">
        <v>65</v>
      </c>
      <c r="F60" s="1" t="s">
        <v>591</v>
      </c>
    </row>
    <row r="61" spans="1:6" x14ac:dyDescent="0.25">
      <c r="A61" s="1" t="s">
        <v>592</v>
      </c>
      <c r="B61" s="1" t="s">
        <v>593</v>
      </c>
      <c r="C61" s="1" t="s">
        <v>594</v>
      </c>
      <c r="D61" s="1" t="s">
        <v>595</v>
      </c>
      <c r="E61" s="1" t="s">
        <v>71</v>
      </c>
      <c r="F61" s="1" t="s">
        <v>596</v>
      </c>
    </row>
    <row r="62" spans="1:6" x14ac:dyDescent="0.25">
      <c r="A62" s="1" t="s">
        <v>597</v>
      </c>
      <c r="B62" s="1" t="s">
        <v>598</v>
      </c>
      <c r="C62" s="1" t="s">
        <v>599</v>
      </c>
      <c r="D62" s="1" t="s">
        <v>600</v>
      </c>
      <c r="E62" s="1" t="s">
        <v>103</v>
      </c>
      <c r="F62" s="1" t="s">
        <v>601</v>
      </c>
    </row>
    <row r="63" spans="1:6" x14ac:dyDescent="0.25">
      <c r="A63" s="1" t="s">
        <v>602</v>
      </c>
      <c r="B63" s="1" t="s">
        <v>603</v>
      </c>
      <c r="C63" s="1" t="s">
        <v>604</v>
      </c>
      <c r="D63" s="1" t="s">
        <v>509</v>
      </c>
      <c r="E63" s="1" t="s">
        <v>103</v>
      </c>
      <c r="F63" s="1" t="s">
        <v>605</v>
      </c>
    </row>
    <row r="64" spans="1:6" x14ac:dyDescent="0.25">
      <c r="A64" s="1" t="s">
        <v>606</v>
      </c>
      <c r="B64" s="1" t="s">
        <v>607</v>
      </c>
      <c r="C64" s="1" t="s">
        <v>608</v>
      </c>
      <c r="D64" s="1" t="s">
        <v>609</v>
      </c>
      <c r="E64" s="1" t="s">
        <v>441</v>
      </c>
      <c r="F64" s="1" t="s">
        <v>610</v>
      </c>
    </row>
    <row r="65" spans="1:6" x14ac:dyDescent="0.25">
      <c r="A65" s="1" t="s">
        <v>611</v>
      </c>
      <c r="B65" s="1" t="s">
        <v>612</v>
      </c>
      <c r="C65" s="1" t="s">
        <v>613</v>
      </c>
      <c r="D65" s="1" t="s">
        <v>614</v>
      </c>
      <c r="E65" s="1" t="s">
        <v>543</v>
      </c>
      <c r="F65" s="1" t="s">
        <v>615</v>
      </c>
    </row>
    <row r="66" spans="1:6" x14ac:dyDescent="0.25">
      <c r="A66" s="1" t="s">
        <v>616</v>
      </c>
      <c r="B66" s="1" t="s">
        <v>617</v>
      </c>
      <c r="C66" s="1" t="s">
        <v>618</v>
      </c>
      <c r="D66" s="1" t="s">
        <v>619</v>
      </c>
      <c r="E66" s="1" t="s">
        <v>91</v>
      </c>
      <c r="F66" s="1" t="s">
        <v>620</v>
      </c>
    </row>
    <row r="67" spans="1:6" x14ac:dyDescent="0.25">
      <c r="A67" s="1" t="s">
        <v>621</v>
      </c>
      <c r="B67" s="1" t="s">
        <v>622</v>
      </c>
      <c r="C67" s="1" t="s">
        <v>623</v>
      </c>
      <c r="D67" s="1" t="s">
        <v>624</v>
      </c>
      <c r="E67" s="1" t="s">
        <v>103</v>
      </c>
      <c r="F67" s="1" t="s">
        <v>625</v>
      </c>
    </row>
    <row r="68" spans="1:6" x14ac:dyDescent="0.25">
      <c r="A68" s="1" t="s">
        <v>626</v>
      </c>
      <c r="B68" s="1" t="s">
        <v>627</v>
      </c>
      <c r="C68" s="1" t="s">
        <v>628</v>
      </c>
      <c r="D68" s="1" t="s">
        <v>629</v>
      </c>
      <c r="E68" s="1" t="s">
        <v>549</v>
      </c>
      <c r="F68" s="1" t="s">
        <v>630</v>
      </c>
    </row>
    <row r="69" spans="1:6" x14ac:dyDescent="0.25">
      <c r="A69" s="1" t="s">
        <v>631</v>
      </c>
      <c r="B69" s="1" t="s">
        <v>632</v>
      </c>
      <c r="C69" s="1" t="s">
        <v>633</v>
      </c>
      <c r="D69" s="1" t="s">
        <v>634</v>
      </c>
      <c r="E69" s="1" t="s">
        <v>441</v>
      </c>
      <c r="F69" s="1" t="s">
        <v>635</v>
      </c>
    </row>
    <row r="70" spans="1:6" x14ac:dyDescent="0.25">
      <c r="A70" s="1" t="s">
        <v>636</v>
      </c>
      <c r="B70" s="1" t="s">
        <v>637</v>
      </c>
      <c r="C70" s="1" t="s">
        <v>638</v>
      </c>
      <c r="D70" s="1" t="s">
        <v>639</v>
      </c>
      <c r="E70" s="1" t="s">
        <v>97</v>
      </c>
      <c r="F70" s="1" t="s">
        <v>640</v>
      </c>
    </row>
    <row r="71" spans="1:6" x14ac:dyDescent="0.25">
      <c r="A71" s="1" t="s">
        <v>641</v>
      </c>
      <c r="B71" s="1" t="s">
        <v>642</v>
      </c>
      <c r="C71" s="1" t="s">
        <v>643</v>
      </c>
      <c r="D71" s="1" t="s">
        <v>644</v>
      </c>
      <c r="E71" s="1" t="s">
        <v>570</v>
      </c>
      <c r="F71" s="1" t="s">
        <v>645</v>
      </c>
    </row>
    <row r="72" spans="1:6" x14ac:dyDescent="0.25">
      <c r="A72" s="1" t="s">
        <v>646</v>
      </c>
      <c r="B72" s="1" t="s">
        <v>647</v>
      </c>
      <c r="C72" s="1" t="s">
        <v>648</v>
      </c>
      <c r="D72" s="1" t="s">
        <v>649</v>
      </c>
      <c r="E72" s="1" t="s">
        <v>71</v>
      </c>
      <c r="F72" s="1" t="s">
        <v>650</v>
      </c>
    </row>
    <row r="73" spans="1:6" x14ac:dyDescent="0.25">
      <c r="A73" s="1" t="s">
        <v>651</v>
      </c>
      <c r="B73" s="1" t="s">
        <v>652</v>
      </c>
      <c r="C73" s="1" t="s">
        <v>653</v>
      </c>
      <c r="D73" s="1" t="s">
        <v>619</v>
      </c>
      <c r="E73" s="1" t="s">
        <v>654</v>
      </c>
      <c r="F73" s="1" t="s">
        <v>655</v>
      </c>
    </row>
    <row r="74" spans="1:6" x14ac:dyDescent="0.25">
      <c r="A74" s="1" t="s">
        <v>656</v>
      </c>
      <c r="B74" s="1" t="s">
        <v>657</v>
      </c>
      <c r="C74" s="1" t="s">
        <v>658</v>
      </c>
      <c r="D74" s="1" t="s">
        <v>428</v>
      </c>
      <c r="E74" s="1" t="s">
        <v>549</v>
      </c>
      <c r="F74" s="1" t="s">
        <v>659</v>
      </c>
    </row>
    <row r="75" spans="1:6" x14ac:dyDescent="0.25">
      <c r="A75" s="1" t="s">
        <v>660</v>
      </c>
      <c r="B75" s="1" t="s">
        <v>661</v>
      </c>
      <c r="C75" s="1" t="s">
        <v>662</v>
      </c>
      <c r="D75" s="1" t="s">
        <v>663</v>
      </c>
      <c r="E75" s="1" t="s">
        <v>549</v>
      </c>
      <c r="F75" s="1" t="s">
        <v>664</v>
      </c>
    </row>
    <row r="76" spans="1:6" x14ac:dyDescent="0.25">
      <c r="A76" s="1" t="s">
        <v>665</v>
      </c>
      <c r="B76" s="1" t="s">
        <v>666</v>
      </c>
      <c r="C76" s="1" t="s">
        <v>667</v>
      </c>
      <c r="D76" s="1" t="s">
        <v>614</v>
      </c>
      <c r="E76" s="1" t="s">
        <v>109</v>
      </c>
      <c r="F76" s="1" t="s">
        <v>668</v>
      </c>
    </row>
    <row r="77" spans="1:6" x14ac:dyDescent="0.25">
      <c r="A77" s="1" t="s">
        <v>669</v>
      </c>
      <c r="B77" s="1" t="s">
        <v>670</v>
      </c>
      <c r="C77" s="1" t="s">
        <v>671</v>
      </c>
      <c r="D77" s="1" t="s">
        <v>494</v>
      </c>
      <c r="E77" s="1" t="s">
        <v>453</v>
      </c>
      <c r="F77" s="1" t="s">
        <v>672</v>
      </c>
    </row>
    <row r="78" spans="1:6" x14ac:dyDescent="0.25">
      <c r="A78" s="1" t="s">
        <v>673</v>
      </c>
      <c r="B78" s="1" t="s">
        <v>674</v>
      </c>
      <c r="C78" s="1" t="s">
        <v>675</v>
      </c>
      <c r="D78" s="1" t="s">
        <v>676</v>
      </c>
      <c r="E78" s="1" t="s">
        <v>41</v>
      </c>
      <c r="F78" s="1" t="s">
        <v>677</v>
      </c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3F2B-AAFB-434E-A3D2-B95744506A44}">
  <sheetPr codeName="Planilha5"/>
  <dimension ref="A1"/>
  <sheetViews>
    <sheetView zoomScale="177" workbookViewId="0">
      <selection activeCell="S23" sqref="S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BECC-A37F-4DCA-9D8B-3D8321D887F6}">
  <sheetPr codeName="Planilha6"/>
  <dimension ref="A1:G109"/>
  <sheetViews>
    <sheetView zoomScale="107" workbookViewId="0">
      <selection activeCell="E1" sqref="E1:E1048576"/>
    </sheetView>
  </sheetViews>
  <sheetFormatPr defaultRowHeight="15" x14ac:dyDescent="0.25"/>
  <cols>
    <col min="1" max="1" width="22.85546875" style="19" customWidth="1"/>
    <col min="2" max="2" width="41.42578125" customWidth="1"/>
    <col min="3" max="3" width="22.140625" customWidth="1"/>
    <col min="4" max="4" width="13.85546875" customWidth="1"/>
    <col min="5" max="5" width="9.85546875" customWidth="1"/>
    <col min="6" max="6" width="49.28515625" customWidth="1"/>
    <col min="7" max="7" width="44.5703125" customWidth="1"/>
  </cols>
  <sheetData>
    <row r="1" spans="1:7" x14ac:dyDescent="0.25">
      <c r="A1" s="18" t="s">
        <v>122</v>
      </c>
      <c r="B1" s="12">
        <f ca="1">TODAY()</f>
        <v>45910</v>
      </c>
    </row>
    <row r="2" spans="1:7" x14ac:dyDescent="0.25">
      <c r="A2" s="18" t="s">
        <v>123</v>
      </c>
      <c r="B2" s="13"/>
      <c r="D2" t="s">
        <v>134</v>
      </c>
    </row>
    <row r="3" spans="1:7" x14ac:dyDescent="0.25">
      <c r="A3" s="18" t="s">
        <v>112</v>
      </c>
      <c r="B3" s="13"/>
    </row>
    <row r="4" spans="1:7" x14ac:dyDescent="0.25">
      <c r="A4" s="18" t="s">
        <v>113</v>
      </c>
      <c r="B4" s="13"/>
      <c r="D4" t="s">
        <v>135</v>
      </c>
    </row>
    <row r="5" spans="1:7" x14ac:dyDescent="0.25">
      <c r="A5" s="18" t="s">
        <v>124</v>
      </c>
      <c r="B5" s="13"/>
    </row>
    <row r="6" spans="1:7" ht="18.75" customHeight="1" x14ac:dyDescent="0.25">
      <c r="A6" s="18" t="s">
        <v>131</v>
      </c>
      <c r="B6" s="7"/>
      <c r="D6" t="s">
        <v>8</v>
      </c>
    </row>
    <row r="7" spans="1:7" x14ac:dyDescent="0.25">
      <c r="A7" s="18" t="s">
        <v>132</v>
      </c>
      <c r="B7" s="13"/>
    </row>
    <row r="9" spans="1:7" x14ac:dyDescent="0.25">
      <c r="A9" s="18" t="s">
        <v>122</v>
      </c>
      <c r="B9" s="10" t="s">
        <v>123</v>
      </c>
      <c r="C9" s="10" t="s">
        <v>112</v>
      </c>
      <c r="D9" s="10" t="s">
        <v>113</v>
      </c>
      <c r="E9" s="10" t="s">
        <v>124</v>
      </c>
      <c r="F9" s="10" t="s">
        <v>131</v>
      </c>
      <c r="G9" s="10" t="s">
        <v>132</v>
      </c>
    </row>
    <row r="10" spans="1:7" ht="13.5" customHeight="1" x14ac:dyDescent="0.25">
      <c r="A10" s="12">
        <f ca="1">TODAY()</f>
        <v>45910</v>
      </c>
      <c r="B10" s="1">
        <v>1</v>
      </c>
      <c r="C10" s="1" t="s">
        <v>139</v>
      </c>
      <c r="D10" s="1" t="s">
        <v>126</v>
      </c>
      <c r="E10" s="1">
        <v>189</v>
      </c>
      <c r="F10" s="1" t="s">
        <v>140</v>
      </c>
      <c r="G10" s="1" t="s">
        <v>141</v>
      </c>
    </row>
    <row r="11" spans="1:7" x14ac:dyDescent="0.25">
      <c r="A11" s="12">
        <f t="shared" ref="A11:A74" ca="1" si="0">TODAY()</f>
        <v>45910</v>
      </c>
      <c r="B11" s="1">
        <v>2</v>
      </c>
      <c r="C11" s="1" t="s">
        <v>142</v>
      </c>
      <c r="D11" s="1" t="s">
        <v>138</v>
      </c>
      <c r="E11" s="1">
        <v>470</v>
      </c>
      <c r="F11" s="1" t="s">
        <v>144</v>
      </c>
      <c r="G11" s="1" t="s">
        <v>145</v>
      </c>
    </row>
    <row r="12" spans="1:7" x14ac:dyDescent="0.25">
      <c r="A12" s="12">
        <f t="shared" ca="1" si="0"/>
        <v>45910</v>
      </c>
      <c r="B12" s="1">
        <v>3</v>
      </c>
      <c r="C12" s="1" t="s">
        <v>146</v>
      </c>
      <c r="D12" s="1" t="s">
        <v>143</v>
      </c>
      <c r="E12" s="1">
        <v>499</v>
      </c>
      <c r="F12" s="1" t="s">
        <v>140</v>
      </c>
      <c r="G12" s="1" t="s">
        <v>147</v>
      </c>
    </row>
    <row r="13" spans="1:7" x14ac:dyDescent="0.25">
      <c r="A13" s="12">
        <f t="shared" ca="1" si="0"/>
        <v>45910</v>
      </c>
      <c r="B13" s="1">
        <v>4</v>
      </c>
      <c r="C13" s="1" t="s">
        <v>148</v>
      </c>
      <c r="D13" s="1" t="s">
        <v>137</v>
      </c>
      <c r="E13" s="1">
        <v>95</v>
      </c>
      <c r="F13" s="1" t="s">
        <v>149</v>
      </c>
      <c r="G13" s="1" t="s">
        <v>150</v>
      </c>
    </row>
    <row r="14" spans="1:7" x14ac:dyDescent="0.25">
      <c r="A14" s="12">
        <f t="shared" ca="1" si="0"/>
        <v>45910</v>
      </c>
      <c r="B14" s="1">
        <v>5</v>
      </c>
      <c r="C14" s="1" t="s">
        <v>151</v>
      </c>
      <c r="D14" s="1" t="s">
        <v>126</v>
      </c>
      <c r="E14" s="1">
        <v>143</v>
      </c>
      <c r="F14" s="1" t="s">
        <v>144</v>
      </c>
      <c r="G14" s="1" t="s">
        <v>147</v>
      </c>
    </row>
    <row r="15" spans="1:7" x14ac:dyDescent="0.25">
      <c r="A15" s="12">
        <f t="shared" ca="1" si="0"/>
        <v>45910</v>
      </c>
      <c r="B15" s="1">
        <v>6</v>
      </c>
      <c r="C15" s="1" t="s">
        <v>146</v>
      </c>
      <c r="D15" s="1" t="s">
        <v>137</v>
      </c>
      <c r="E15" s="1">
        <v>225</v>
      </c>
      <c r="F15" s="1" t="s">
        <v>153</v>
      </c>
      <c r="G15" s="1" t="s">
        <v>147</v>
      </c>
    </row>
    <row r="16" spans="1:7" x14ac:dyDescent="0.25">
      <c r="A16" s="12">
        <f t="shared" ca="1" si="0"/>
        <v>45910</v>
      </c>
      <c r="B16" s="1">
        <v>7</v>
      </c>
      <c r="C16" s="1" t="s">
        <v>154</v>
      </c>
      <c r="D16" s="1" t="s">
        <v>137</v>
      </c>
      <c r="E16" s="1">
        <v>244</v>
      </c>
      <c r="F16" s="1" t="s">
        <v>155</v>
      </c>
      <c r="G16" s="1" t="s">
        <v>141</v>
      </c>
    </row>
    <row r="17" spans="1:7" x14ac:dyDescent="0.25">
      <c r="A17" s="12">
        <f t="shared" ca="1" si="0"/>
        <v>45910</v>
      </c>
      <c r="B17" s="1">
        <v>8</v>
      </c>
      <c r="C17" s="1" t="s">
        <v>156</v>
      </c>
      <c r="D17" s="1" t="s">
        <v>126</v>
      </c>
      <c r="E17" s="1">
        <v>365</v>
      </c>
      <c r="F17" s="1" t="s">
        <v>155</v>
      </c>
      <c r="G17" s="1" t="s">
        <v>150</v>
      </c>
    </row>
    <row r="18" spans="1:7" x14ac:dyDescent="0.25">
      <c r="A18" s="12">
        <f t="shared" ca="1" si="0"/>
        <v>45910</v>
      </c>
      <c r="B18" s="1">
        <v>9</v>
      </c>
      <c r="C18" s="1" t="s">
        <v>157</v>
      </c>
      <c r="D18" s="1" t="s">
        <v>138</v>
      </c>
      <c r="E18" s="1">
        <v>15</v>
      </c>
      <c r="F18" s="1" t="s">
        <v>144</v>
      </c>
      <c r="G18" s="1" t="s">
        <v>150</v>
      </c>
    </row>
    <row r="19" spans="1:7" x14ac:dyDescent="0.25">
      <c r="A19" s="12">
        <f t="shared" ca="1" si="0"/>
        <v>45910</v>
      </c>
      <c r="B19" s="1">
        <v>10</v>
      </c>
      <c r="C19" s="1" t="s">
        <v>158</v>
      </c>
      <c r="D19" s="1" t="s">
        <v>136</v>
      </c>
      <c r="E19" s="1">
        <v>77</v>
      </c>
      <c r="F19" s="1" t="s">
        <v>144</v>
      </c>
      <c r="G19" s="1" t="s">
        <v>147</v>
      </c>
    </row>
    <row r="20" spans="1:7" x14ac:dyDescent="0.25">
      <c r="A20" s="12">
        <f t="shared" ca="1" si="0"/>
        <v>45910</v>
      </c>
      <c r="B20" s="1">
        <v>11</v>
      </c>
      <c r="C20" s="1" t="s">
        <v>156</v>
      </c>
      <c r="D20" s="1" t="s">
        <v>138</v>
      </c>
      <c r="E20" s="1">
        <v>462</v>
      </c>
      <c r="F20" s="1" t="s">
        <v>153</v>
      </c>
      <c r="G20" s="1" t="s">
        <v>145</v>
      </c>
    </row>
    <row r="21" spans="1:7" x14ac:dyDescent="0.25">
      <c r="A21" s="12">
        <f t="shared" ca="1" si="0"/>
        <v>45910</v>
      </c>
      <c r="B21" s="1">
        <v>12</v>
      </c>
      <c r="C21" s="1" t="s">
        <v>159</v>
      </c>
      <c r="D21" s="1" t="s">
        <v>137</v>
      </c>
      <c r="E21" s="1">
        <v>326</v>
      </c>
      <c r="F21" s="1" t="s">
        <v>155</v>
      </c>
      <c r="G21" s="1" t="s">
        <v>141</v>
      </c>
    </row>
    <row r="22" spans="1:7" x14ac:dyDescent="0.25">
      <c r="A22" s="12">
        <f t="shared" ca="1" si="0"/>
        <v>45910</v>
      </c>
      <c r="B22" s="1">
        <v>13</v>
      </c>
      <c r="C22" s="1" t="s">
        <v>160</v>
      </c>
      <c r="D22" s="1" t="s">
        <v>152</v>
      </c>
      <c r="E22" s="1">
        <v>67</v>
      </c>
      <c r="F22" s="1" t="s">
        <v>155</v>
      </c>
      <c r="G22" s="1" t="s">
        <v>150</v>
      </c>
    </row>
    <row r="23" spans="1:7" x14ac:dyDescent="0.25">
      <c r="A23" s="12">
        <f t="shared" ca="1" si="0"/>
        <v>45910</v>
      </c>
      <c r="B23" s="1">
        <v>14</v>
      </c>
      <c r="C23" s="1" t="s">
        <v>161</v>
      </c>
      <c r="D23" s="1" t="s">
        <v>143</v>
      </c>
      <c r="E23" s="1">
        <v>381</v>
      </c>
      <c r="F23" s="1" t="s">
        <v>140</v>
      </c>
      <c r="G23" s="1" t="s">
        <v>141</v>
      </c>
    </row>
    <row r="24" spans="1:7" x14ac:dyDescent="0.25">
      <c r="A24" s="12">
        <f t="shared" ca="1" si="0"/>
        <v>45910</v>
      </c>
      <c r="B24" s="1">
        <v>15</v>
      </c>
      <c r="C24" s="1" t="s">
        <v>162</v>
      </c>
      <c r="D24" s="1" t="s">
        <v>138</v>
      </c>
      <c r="E24" s="1">
        <v>283</v>
      </c>
      <c r="F24" s="1" t="s">
        <v>140</v>
      </c>
      <c r="G24" s="1" t="s">
        <v>163</v>
      </c>
    </row>
    <row r="25" spans="1:7" x14ac:dyDescent="0.25">
      <c r="A25" s="12">
        <f t="shared" ca="1" si="0"/>
        <v>45910</v>
      </c>
      <c r="B25" s="1">
        <v>16</v>
      </c>
      <c r="C25" s="1" t="s">
        <v>162</v>
      </c>
      <c r="D25" s="1" t="s">
        <v>152</v>
      </c>
      <c r="E25" s="1">
        <v>184</v>
      </c>
      <c r="F25" s="1" t="s">
        <v>149</v>
      </c>
      <c r="G25" s="1" t="s">
        <v>147</v>
      </c>
    </row>
    <row r="26" spans="1:7" x14ac:dyDescent="0.25">
      <c r="A26" s="12">
        <f t="shared" ca="1" si="0"/>
        <v>45910</v>
      </c>
      <c r="B26" s="1">
        <v>17</v>
      </c>
      <c r="C26" s="1" t="s">
        <v>164</v>
      </c>
      <c r="D26" s="1" t="s">
        <v>138</v>
      </c>
      <c r="E26" s="1">
        <v>25</v>
      </c>
      <c r="F26" s="1" t="s">
        <v>144</v>
      </c>
      <c r="G26" s="1" t="s">
        <v>147</v>
      </c>
    </row>
    <row r="27" spans="1:7" x14ac:dyDescent="0.25">
      <c r="A27" s="12">
        <f t="shared" ca="1" si="0"/>
        <v>45910</v>
      </c>
      <c r="B27" s="1">
        <v>18</v>
      </c>
      <c r="C27" s="1" t="s">
        <v>165</v>
      </c>
      <c r="D27" s="1" t="s">
        <v>137</v>
      </c>
      <c r="E27" s="1">
        <v>228</v>
      </c>
      <c r="F27" s="1" t="s">
        <v>140</v>
      </c>
      <c r="G27" s="1" t="s">
        <v>141</v>
      </c>
    </row>
    <row r="28" spans="1:7" x14ac:dyDescent="0.25">
      <c r="A28" s="12">
        <f t="shared" ca="1" si="0"/>
        <v>45910</v>
      </c>
      <c r="B28" s="1">
        <v>19</v>
      </c>
      <c r="C28" s="1" t="s">
        <v>166</v>
      </c>
      <c r="D28" s="1" t="s">
        <v>136</v>
      </c>
      <c r="E28" s="1">
        <v>177</v>
      </c>
      <c r="F28" s="1" t="s">
        <v>149</v>
      </c>
      <c r="G28" s="1" t="s">
        <v>141</v>
      </c>
    </row>
    <row r="29" spans="1:7" x14ac:dyDescent="0.25">
      <c r="A29" s="12">
        <f t="shared" ca="1" si="0"/>
        <v>45910</v>
      </c>
      <c r="B29" s="1">
        <v>20</v>
      </c>
      <c r="C29" s="1" t="s">
        <v>167</v>
      </c>
      <c r="D29" s="1" t="s">
        <v>138</v>
      </c>
      <c r="E29" s="1">
        <v>64</v>
      </c>
      <c r="F29" s="1" t="s">
        <v>144</v>
      </c>
      <c r="G29" s="1" t="s">
        <v>145</v>
      </c>
    </row>
    <row r="30" spans="1:7" x14ac:dyDescent="0.25">
      <c r="A30" s="12">
        <f t="shared" ca="1" si="0"/>
        <v>45910</v>
      </c>
      <c r="B30" s="1">
        <v>21</v>
      </c>
      <c r="C30" s="1" t="s">
        <v>168</v>
      </c>
      <c r="D30" s="1" t="s">
        <v>143</v>
      </c>
      <c r="E30" s="1">
        <v>91</v>
      </c>
      <c r="F30" s="1" t="s">
        <v>155</v>
      </c>
      <c r="G30" s="1" t="s">
        <v>163</v>
      </c>
    </row>
    <row r="31" spans="1:7" x14ac:dyDescent="0.25">
      <c r="A31" s="12">
        <f t="shared" ca="1" si="0"/>
        <v>45910</v>
      </c>
      <c r="B31" s="1">
        <v>22</v>
      </c>
      <c r="C31" s="1" t="s">
        <v>169</v>
      </c>
      <c r="D31" s="1" t="s">
        <v>126</v>
      </c>
      <c r="E31" s="1">
        <v>380</v>
      </c>
      <c r="F31" s="1" t="s">
        <v>153</v>
      </c>
      <c r="G31" s="1" t="s">
        <v>163</v>
      </c>
    </row>
    <row r="32" spans="1:7" x14ac:dyDescent="0.25">
      <c r="A32" s="12">
        <f t="shared" ca="1" si="0"/>
        <v>45910</v>
      </c>
      <c r="B32" s="1">
        <v>23</v>
      </c>
      <c r="C32" s="1" t="s">
        <v>170</v>
      </c>
      <c r="D32" s="1" t="s">
        <v>126</v>
      </c>
      <c r="E32" s="1">
        <v>320</v>
      </c>
      <c r="F32" s="1" t="s">
        <v>149</v>
      </c>
      <c r="G32" s="1" t="s">
        <v>147</v>
      </c>
    </row>
    <row r="33" spans="1:7" x14ac:dyDescent="0.25">
      <c r="A33" s="12">
        <f t="shared" ca="1" si="0"/>
        <v>45910</v>
      </c>
      <c r="B33" s="1">
        <v>24</v>
      </c>
      <c r="C33" s="1" t="s">
        <v>171</v>
      </c>
      <c r="D33" s="1" t="s">
        <v>152</v>
      </c>
      <c r="E33" s="1">
        <v>67</v>
      </c>
      <c r="F33" s="1" t="s">
        <v>153</v>
      </c>
      <c r="G33" s="1" t="s">
        <v>141</v>
      </c>
    </row>
    <row r="34" spans="1:7" x14ac:dyDescent="0.25">
      <c r="A34" s="12">
        <f t="shared" ca="1" si="0"/>
        <v>45910</v>
      </c>
      <c r="B34" s="1">
        <v>25</v>
      </c>
      <c r="C34" s="1" t="s">
        <v>154</v>
      </c>
      <c r="D34" s="1" t="s">
        <v>137</v>
      </c>
      <c r="E34" s="1">
        <v>491</v>
      </c>
      <c r="F34" s="1" t="s">
        <v>144</v>
      </c>
      <c r="G34" s="1" t="s">
        <v>150</v>
      </c>
    </row>
    <row r="35" spans="1:7" x14ac:dyDescent="0.25">
      <c r="A35" s="12">
        <f t="shared" ca="1" si="0"/>
        <v>45910</v>
      </c>
      <c r="B35" s="1">
        <v>26</v>
      </c>
      <c r="C35" s="1" t="s">
        <v>172</v>
      </c>
      <c r="D35" s="1" t="s">
        <v>137</v>
      </c>
      <c r="E35" s="1">
        <v>240</v>
      </c>
      <c r="F35" s="1" t="s">
        <v>140</v>
      </c>
      <c r="G35" s="1" t="s">
        <v>150</v>
      </c>
    </row>
    <row r="36" spans="1:7" x14ac:dyDescent="0.25">
      <c r="A36" s="12">
        <f t="shared" ca="1" si="0"/>
        <v>45910</v>
      </c>
      <c r="B36" s="1">
        <v>27</v>
      </c>
      <c r="C36" s="1" t="s">
        <v>171</v>
      </c>
      <c r="D36" s="1" t="s">
        <v>136</v>
      </c>
      <c r="E36" s="1">
        <v>302</v>
      </c>
      <c r="F36" s="1" t="s">
        <v>153</v>
      </c>
      <c r="G36" s="1" t="s">
        <v>147</v>
      </c>
    </row>
    <row r="37" spans="1:7" x14ac:dyDescent="0.25">
      <c r="A37" s="12">
        <f t="shared" ca="1" si="0"/>
        <v>45910</v>
      </c>
      <c r="B37" s="1">
        <v>28</v>
      </c>
      <c r="C37" s="1" t="s">
        <v>173</v>
      </c>
      <c r="D37" s="1" t="s">
        <v>138</v>
      </c>
      <c r="E37" s="1">
        <v>449</v>
      </c>
      <c r="F37" s="1" t="s">
        <v>153</v>
      </c>
      <c r="G37" s="1" t="s">
        <v>163</v>
      </c>
    </row>
    <row r="38" spans="1:7" x14ac:dyDescent="0.25">
      <c r="A38" s="12">
        <f t="shared" ca="1" si="0"/>
        <v>45910</v>
      </c>
      <c r="B38" s="1">
        <v>29</v>
      </c>
      <c r="C38" s="1" t="s">
        <v>174</v>
      </c>
      <c r="D38" s="1" t="s">
        <v>126</v>
      </c>
      <c r="E38" s="1">
        <v>131</v>
      </c>
      <c r="F38" s="1" t="s">
        <v>153</v>
      </c>
      <c r="G38" s="1" t="s">
        <v>163</v>
      </c>
    </row>
    <row r="39" spans="1:7" x14ac:dyDescent="0.25">
      <c r="A39" s="12">
        <f t="shared" ca="1" si="0"/>
        <v>45910</v>
      </c>
      <c r="B39" s="1">
        <v>30</v>
      </c>
      <c r="C39" s="1" t="s">
        <v>175</v>
      </c>
      <c r="D39" s="1" t="s">
        <v>138</v>
      </c>
      <c r="E39" s="1">
        <v>61</v>
      </c>
      <c r="F39" s="1" t="s">
        <v>155</v>
      </c>
      <c r="G39" s="1" t="s">
        <v>141</v>
      </c>
    </row>
    <row r="40" spans="1:7" x14ac:dyDescent="0.25">
      <c r="A40" s="12">
        <f t="shared" ca="1" si="0"/>
        <v>45910</v>
      </c>
      <c r="B40" s="1">
        <v>31</v>
      </c>
      <c r="C40" s="1" t="s">
        <v>176</v>
      </c>
      <c r="D40" s="1" t="s">
        <v>152</v>
      </c>
      <c r="E40" s="1">
        <v>344</v>
      </c>
      <c r="F40" s="1" t="s">
        <v>155</v>
      </c>
      <c r="G40" s="1" t="s">
        <v>163</v>
      </c>
    </row>
    <row r="41" spans="1:7" x14ac:dyDescent="0.25">
      <c r="A41" s="12">
        <f t="shared" ca="1" si="0"/>
        <v>45910</v>
      </c>
      <c r="B41" s="1">
        <v>32</v>
      </c>
      <c r="C41" s="1" t="s">
        <v>146</v>
      </c>
      <c r="D41" s="1" t="s">
        <v>152</v>
      </c>
      <c r="E41" s="1">
        <v>399</v>
      </c>
      <c r="F41" s="1" t="s">
        <v>153</v>
      </c>
      <c r="G41" s="1" t="s">
        <v>163</v>
      </c>
    </row>
    <row r="42" spans="1:7" x14ac:dyDescent="0.25">
      <c r="A42" s="12">
        <f t="shared" ca="1" si="0"/>
        <v>45910</v>
      </c>
      <c r="B42" s="1">
        <v>33</v>
      </c>
      <c r="C42" s="1" t="s">
        <v>177</v>
      </c>
      <c r="D42" s="1" t="s">
        <v>138</v>
      </c>
      <c r="E42" s="1">
        <v>161</v>
      </c>
      <c r="F42" s="1" t="s">
        <v>149</v>
      </c>
      <c r="G42" s="1" t="s">
        <v>163</v>
      </c>
    </row>
    <row r="43" spans="1:7" x14ac:dyDescent="0.25">
      <c r="A43" s="12">
        <f t="shared" ca="1" si="0"/>
        <v>45910</v>
      </c>
      <c r="B43" s="1">
        <v>34</v>
      </c>
      <c r="C43" s="1" t="s">
        <v>139</v>
      </c>
      <c r="D43" s="1" t="s">
        <v>136</v>
      </c>
      <c r="E43" s="1">
        <v>256</v>
      </c>
      <c r="F43" s="1" t="s">
        <v>140</v>
      </c>
      <c r="G43" s="1" t="s">
        <v>147</v>
      </c>
    </row>
    <row r="44" spans="1:7" x14ac:dyDescent="0.25">
      <c r="A44" s="12">
        <f t="shared" ca="1" si="0"/>
        <v>45910</v>
      </c>
      <c r="B44" s="1">
        <v>35</v>
      </c>
      <c r="C44" s="1" t="s">
        <v>178</v>
      </c>
      <c r="D44" s="1" t="s">
        <v>136</v>
      </c>
      <c r="E44" s="1">
        <v>371</v>
      </c>
      <c r="F44" s="1" t="s">
        <v>155</v>
      </c>
      <c r="G44" s="1" t="s">
        <v>163</v>
      </c>
    </row>
    <row r="45" spans="1:7" x14ac:dyDescent="0.25">
      <c r="A45" s="12">
        <f t="shared" ca="1" si="0"/>
        <v>45910</v>
      </c>
      <c r="B45" s="1">
        <v>36</v>
      </c>
      <c r="C45" s="1" t="s">
        <v>179</v>
      </c>
      <c r="D45" s="1" t="s">
        <v>136</v>
      </c>
      <c r="E45" s="1">
        <v>483</v>
      </c>
      <c r="F45" s="1" t="s">
        <v>140</v>
      </c>
      <c r="G45" s="1" t="s">
        <v>150</v>
      </c>
    </row>
    <row r="46" spans="1:7" x14ac:dyDescent="0.25">
      <c r="A46" s="12">
        <f t="shared" ca="1" si="0"/>
        <v>45910</v>
      </c>
      <c r="B46" s="1">
        <v>37</v>
      </c>
      <c r="C46" s="1" t="s">
        <v>166</v>
      </c>
      <c r="D46" s="1" t="s">
        <v>136</v>
      </c>
      <c r="E46" s="1">
        <v>455</v>
      </c>
      <c r="F46" s="1" t="s">
        <v>155</v>
      </c>
      <c r="G46" s="1" t="s">
        <v>141</v>
      </c>
    </row>
    <row r="47" spans="1:7" x14ac:dyDescent="0.25">
      <c r="A47" s="12">
        <f t="shared" ca="1" si="0"/>
        <v>45910</v>
      </c>
      <c r="B47" s="1">
        <v>38</v>
      </c>
      <c r="C47" s="1" t="s">
        <v>180</v>
      </c>
      <c r="D47" s="1" t="s">
        <v>136</v>
      </c>
      <c r="E47" s="1">
        <v>414</v>
      </c>
      <c r="F47" s="1" t="s">
        <v>149</v>
      </c>
      <c r="G47" s="1" t="s">
        <v>147</v>
      </c>
    </row>
    <row r="48" spans="1:7" x14ac:dyDescent="0.25">
      <c r="A48" s="12">
        <f t="shared" ca="1" si="0"/>
        <v>45910</v>
      </c>
      <c r="B48" s="1">
        <v>39</v>
      </c>
      <c r="C48" s="1" t="s">
        <v>181</v>
      </c>
      <c r="D48" s="1" t="s">
        <v>136</v>
      </c>
      <c r="E48" s="1">
        <v>413</v>
      </c>
      <c r="F48" s="1" t="s">
        <v>144</v>
      </c>
      <c r="G48" s="1" t="s">
        <v>150</v>
      </c>
    </row>
    <row r="49" spans="1:7" x14ac:dyDescent="0.25">
      <c r="A49" s="12">
        <f t="shared" ca="1" si="0"/>
        <v>45910</v>
      </c>
      <c r="B49" s="1">
        <v>40</v>
      </c>
      <c r="C49" s="1" t="s">
        <v>182</v>
      </c>
      <c r="D49" s="1" t="s">
        <v>126</v>
      </c>
      <c r="E49" s="1">
        <v>295</v>
      </c>
      <c r="F49" s="1" t="s">
        <v>155</v>
      </c>
      <c r="G49" s="1" t="s">
        <v>141</v>
      </c>
    </row>
    <row r="50" spans="1:7" x14ac:dyDescent="0.25">
      <c r="A50" s="12">
        <f t="shared" ca="1" si="0"/>
        <v>45910</v>
      </c>
      <c r="B50" s="1">
        <v>41</v>
      </c>
      <c r="C50" s="1" t="s">
        <v>183</v>
      </c>
      <c r="D50" s="1" t="s">
        <v>143</v>
      </c>
      <c r="E50" s="1">
        <v>144</v>
      </c>
      <c r="F50" s="1" t="s">
        <v>149</v>
      </c>
      <c r="G50" s="1" t="s">
        <v>141</v>
      </c>
    </row>
    <row r="51" spans="1:7" x14ac:dyDescent="0.25">
      <c r="A51" s="12">
        <f t="shared" ca="1" si="0"/>
        <v>45910</v>
      </c>
      <c r="B51" s="1">
        <v>42</v>
      </c>
      <c r="C51" s="1" t="s">
        <v>184</v>
      </c>
      <c r="D51" s="1" t="s">
        <v>126</v>
      </c>
      <c r="E51" s="1">
        <v>331</v>
      </c>
      <c r="F51" s="1" t="s">
        <v>140</v>
      </c>
      <c r="G51" s="1" t="s">
        <v>147</v>
      </c>
    </row>
    <row r="52" spans="1:7" x14ac:dyDescent="0.25">
      <c r="A52" s="12">
        <f t="shared" ca="1" si="0"/>
        <v>45910</v>
      </c>
      <c r="B52" s="1">
        <v>43</v>
      </c>
      <c r="C52" s="1" t="s">
        <v>185</v>
      </c>
      <c r="D52" s="1" t="s">
        <v>138</v>
      </c>
      <c r="E52" s="1">
        <v>442</v>
      </c>
      <c r="F52" s="1" t="s">
        <v>140</v>
      </c>
      <c r="G52" s="1" t="s">
        <v>145</v>
      </c>
    </row>
    <row r="53" spans="1:7" x14ac:dyDescent="0.25">
      <c r="A53" s="12">
        <f t="shared" ca="1" si="0"/>
        <v>45910</v>
      </c>
      <c r="B53" s="1">
        <v>44</v>
      </c>
      <c r="C53" s="1" t="s">
        <v>178</v>
      </c>
      <c r="D53" s="1" t="s">
        <v>137</v>
      </c>
      <c r="E53" s="1">
        <v>295</v>
      </c>
      <c r="F53" s="1" t="s">
        <v>155</v>
      </c>
      <c r="G53" s="1" t="s">
        <v>163</v>
      </c>
    </row>
    <row r="54" spans="1:7" x14ac:dyDescent="0.25">
      <c r="A54" s="12">
        <f t="shared" ca="1" si="0"/>
        <v>45910</v>
      </c>
      <c r="B54" s="1">
        <v>45</v>
      </c>
      <c r="C54" s="1" t="s">
        <v>162</v>
      </c>
      <c r="D54" s="1" t="s">
        <v>152</v>
      </c>
      <c r="E54" s="1">
        <v>246</v>
      </c>
      <c r="F54" s="1" t="s">
        <v>140</v>
      </c>
      <c r="G54" s="1" t="s">
        <v>147</v>
      </c>
    </row>
    <row r="55" spans="1:7" x14ac:dyDescent="0.25">
      <c r="A55" s="12">
        <f t="shared" ca="1" si="0"/>
        <v>45910</v>
      </c>
      <c r="B55" s="1">
        <v>46</v>
      </c>
      <c r="C55" s="1" t="s">
        <v>186</v>
      </c>
      <c r="D55" s="1" t="s">
        <v>143</v>
      </c>
      <c r="E55" s="1">
        <v>280</v>
      </c>
      <c r="F55" s="1" t="s">
        <v>140</v>
      </c>
      <c r="G55" s="1" t="s">
        <v>141</v>
      </c>
    </row>
    <row r="56" spans="1:7" x14ac:dyDescent="0.25">
      <c r="A56" s="12">
        <f t="shared" ca="1" si="0"/>
        <v>45910</v>
      </c>
      <c r="B56" s="1">
        <v>47</v>
      </c>
      <c r="C56" s="1" t="s">
        <v>148</v>
      </c>
      <c r="D56" s="1" t="s">
        <v>138</v>
      </c>
      <c r="E56" s="1">
        <v>436</v>
      </c>
      <c r="F56" s="1" t="s">
        <v>155</v>
      </c>
      <c r="G56" s="1" t="s">
        <v>150</v>
      </c>
    </row>
    <row r="57" spans="1:7" x14ac:dyDescent="0.25">
      <c r="A57" s="12">
        <f t="shared" ca="1" si="0"/>
        <v>45910</v>
      </c>
      <c r="B57" s="1">
        <v>48</v>
      </c>
      <c r="C57" s="1" t="s">
        <v>176</v>
      </c>
      <c r="D57" s="1" t="s">
        <v>137</v>
      </c>
      <c r="E57" s="1">
        <v>300</v>
      </c>
      <c r="F57" s="1" t="s">
        <v>140</v>
      </c>
      <c r="G57" s="1" t="s">
        <v>163</v>
      </c>
    </row>
    <row r="58" spans="1:7" x14ac:dyDescent="0.25">
      <c r="A58" s="12">
        <f t="shared" ca="1" si="0"/>
        <v>45910</v>
      </c>
      <c r="B58" s="1">
        <v>49</v>
      </c>
      <c r="C58" s="1" t="s">
        <v>187</v>
      </c>
      <c r="D58" s="1" t="s">
        <v>137</v>
      </c>
      <c r="E58" s="1">
        <v>376</v>
      </c>
      <c r="F58" s="1" t="s">
        <v>144</v>
      </c>
      <c r="G58" s="1" t="s">
        <v>141</v>
      </c>
    </row>
    <row r="59" spans="1:7" x14ac:dyDescent="0.25">
      <c r="A59" s="12">
        <f t="shared" ca="1" si="0"/>
        <v>45910</v>
      </c>
      <c r="B59" s="1">
        <v>50</v>
      </c>
      <c r="C59" s="1" t="s">
        <v>188</v>
      </c>
      <c r="D59" s="1" t="s">
        <v>126</v>
      </c>
      <c r="E59" s="1">
        <v>384</v>
      </c>
      <c r="F59" s="1" t="s">
        <v>153</v>
      </c>
      <c r="G59" s="1" t="s">
        <v>145</v>
      </c>
    </row>
    <row r="60" spans="1:7" x14ac:dyDescent="0.25">
      <c r="A60" s="12">
        <f t="shared" ca="1" si="0"/>
        <v>45910</v>
      </c>
      <c r="B60" s="1">
        <v>51</v>
      </c>
      <c r="C60" s="1" t="s">
        <v>189</v>
      </c>
      <c r="D60" s="1" t="s">
        <v>143</v>
      </c>
      <c r="E60" s="1">
        <v>351</v>
      </c>
      <c r="F60" s="1" t="s">
        <v>149</v>
      </c>
      <c r="G60" s="1" t="s">
        <v>147</v>
      </c>
    </row>
    <row r="61" spans="1:7" x14ac:dyDescent="0.25">
      <c r="A61" s="12">
        <f t="shared" ca="1" si="0"/>
        <v>45910</v>
      </c>
      <c r="B61" s="1">
        <v>52</v>
      </c>
      <c r="C61" s="1" t="s">
        <v>170</v>
      </c>
      <c r="D61" s="1" t="s">
        <v>126</v>
      </c>
      <c r="E61" s="1">
        <v>445</v>
      </c>
      <c r="F61" s="1" t="s">
        <v>155</v>
      </c>
      <c r="G61" s="1" t="s">
        <v>163</v>
      </c>
    </row>
    <row r="62" spans="1:7" x14ac:dyDescent="0.25">
      <c r="A62" s="12">
        <f t="shared" ca="1" si="0"/>
        <v>45910</v>
      </c>
      <c r="B62" s="1">
        <v>53</v>
      </c>
      <c r="C62" s="1" t="s">
        <v>190</v>
      </c>
      <c r="D62" s="1" t="s">
        <v>138</v>
      </c>
      <c r="E62" s="1">
        <v>15</v>
      </c>
      <c r="F62" s="1" t="s">
        <v>153</v>
      </c>
      <c r="G62" s="1" t="s">
        <v>145</v>
      </c>
    </row>
    <row r="63" spans="1:7" x14ac:dyDescent="0.25">
      <c r="A63" s="12">
        <f t="shared" ca="1" si="0"/>
        <v>45910</v>
      </c>
      <c r="B63" s="1">
        <v>54</v>
      </c>
      <c r="C63" s="1" t="s">
        <v>191</v>
      </c>
      <c r="D63" s="1" t="s">
        <v>152</v>
      </c>
      <c r="E63" s="1">
        <v>357</v>
      </c>
      <c r="F63" s="1" t="s">
        <v>144</v>
      </c>
      <c r="G63" s="1" t="s">
        <v>145</v>
      </c>
    </row>
    <row r="64" spans="1:7" x14ac:dyDescent="0.25">
      <c r="A64" s="12">
        <f t="shared" ca="1" si="0"/>
        <v>45910</v>
      </c>
      <c r="B64" s="1">
        <v>55</v>
      </c>
      <c r="C64" s="1" t="s">
        <v>192</v>
      </c>
      <c r="D64" s="1" t="s">
        <v>143</v>
      </c>
      <c r="E64" s="1">
        <v>406</v>
      </c>
      <c r="F64" s="1" t="s">
        <v>149</v>
      </c>
      <c r="G64" s="1" t="s">
        <v>147</v>
      </c>
    </row>
    <row r="65" spans="1:7" x14ac:dyDescent="0.25">
      <c r="A65" s="12">
        <f t="shared" ca="1" si="0"/>
        <v>45910</v>
      </c>
      <c r="B65" s="1">
        <v>56</v>
      </c>
      <c r="C65" s="1" t="s">
        <v>193</v>
      </c>
      <c r="D65" s="1" t="s">
        <v>126</v>
      </c>
      <c r="E65" s="1">
        <v>245</v>
      </c>
      <c r="F65" s="1" t="s">
        <v>153</v>
      </c>
      <c r="G65" s="1" t="s">
        <v>141</v>
      </c>
    </row>
    <row r="66" spans="1:7" x14ac:dyDescent="0.25">
      <c r="A66" s="12">
        <f t="shared" ca="1" si="0"/>
        <v>45910</v>
      </c>
      <c r="B66" s="1">
        <v>57</v>
      </c>
      <c r="C66" s="1" t="s">
        <v>194</v>
      </c>
      <c r="D66" s="1" t="s">
        <v>126</v>
      </c>
      <c r="E66" s="1">
        <v>145</v>
      </c>
      <c r="F66" s="1" t="s">
        <v>155</v>
      </c>
      <c r="G66" s="1" t="s">
        <v>141</v>
      </c>
    </row>
    <row r="67" spans="1:7" x14ac:dyDescent="0.25">
      <c r="A67" s="12">
        <f t="shared" ca="1" si="0"/>
        <v>45910</v>
      </c>
      <c r="B67" s="1">
        <v>58</v>
      </c>
      <c r="C67" s="1" t="s">
        <v>195</v>
      </c>
      <c r="D67" s="1" t="s">
        <v>138</v>
      </c>
      <c r="E67" s="1">
        <v>366</v>
      </c>
      <c r="F67" s="1" t="s">
        <v>149</v>
      </c>
      <c r="G67" s="1" t="s">
        <v>147</v>
      </c>
    </row>
    <row r="68" spans="1:7" x14ac:dyDescent="0.25">
      <c r="A68" s="12">
        <f t="shared" ca="1" si="0"/>
        <v>45910</v>
      </c>
      <c r="B68" s="1">
        <v>59</v>
      </c>
      <c r="C68" s="1" t="s">
        <v>154</v>
      </c>
      <c r="D68" s="1" t="s">
        <v>126</v>
      </c>
      <c r="E68" s="1">
        <v>441</v>
      </c>
      <c r="F68" s="1" t="s">
        <v>140</v>
      </c>
      <c r="G68" s="1" t="s">
        <v>147</v>
      </c>
    </row>
    <row r="69" spans="1:7" x14ac:dyDescent="0.25">
      <c r="A69" s="12">
        <f t="shared" ca="1" si="0"/>
        <v>45910</v>
      </c>
      <c r="B69" s="1">
        <v>60</v>
      </c>
      <c r="C69" s="1" t="s">
        <v>196</v>
      </c>
      <c r="D69" s="1" t="s">
        <v>137</v>
      </c>
      <c r="E69" s="1">
        <v>107</v>
      </c>
      <c r="F69" s="1" t="s">
        <v>155</v>
      </c>
      <c r="G69" s="1" t="s">
        <v>150</v>
      </c>
    </row>
    <row r="70" spans="1:7" x14ac:dyDescent="0.25">
      <c r="A70" s="12">
        <f t="shared" ca="1" si="0"/>
        <v>45910</v>
      </c>
      <c r="B70" s="1">
        <v>61</v>
      </c>
      <c r="C70" s="1" t="s">
        <v>193</v>
      </c>
      <c r="D70" s="1" t="s">
        <v>143</v>
      </c>
      <c r="E70" s="1">
        <v>90</v>
      </c>
      <c r="F70" s="1" t="s">
        <v>155</v>
      </c>
      <c r="G70" s="1" t="s">
        <v>150</v>
      </c>
    </row>
    <row r="71" spans="1:7" x14ac:dyDescent="0.25">
      <c r="A71" s="12">
        <f t="shared" ca="1" si="0"/>
        <v>45910</v>
      </c>
      <c r="B71" s="1">
        <v>62</v>
      </c>
      <c r="C71" s="1" t="s">
        <v>197</v>
      </c>
      <c r="D71" s="1" t="s">
        <v>138</v>
      </c>
      <c r="E71" s="1">
        <v>101</v>
      </c>
      <c r="F71" s="1" t="s">
        <v>153</v>
      </c>
      <c r="G71" s="1" t="s">
        <v>163</v>
      </c>
    </row>
    <row r="72" spans="1:7" x14ac:dyDescent="0.25">
      <c r="A72" s="12">
        <f t="shared" ca="1" si="0"/>
        <v>45910</v>
      </c>
      <c r="B72" s="1">
        <v>63</v>
      </c>
      <c r="C72" s="1" t="s">
        <v>198</v>
      </c>
      <c r="D72" s="1" t="s">
        <v>152</v>
      </c>
      <c r="E72" s="1">
        <v>467</v>
      </c>
      <c r="F72" s="1" t="s">
        <v>144</v>
      </c>
      <c r="G72" s="1" t="s">
        <v>163</v>
      </c>
    </row>
    <row r="73" spans="1:7" x14ac:dyDescent="0.25">
      <c r="A73" s="12">
        <f t="shared" ca="1" si="0"/>
        <v>45910</v>
      </c>
      <c r="B73" s="1">
        <v>64</v>
      </c>
      <c r="C73" s="1" t="s">
        <v>199</v>
      </c>
      <c r="D73" s="1" t="s">
        <v>126</v>
      </c>
      <c r="E73" s="1">
        <v>68</v>
      </c>
      <c r="F73" s="1" t="s">
        <v>155</v>
      </c>
      <c r="G73" s="1" t="s">
        <v>147</v>
      </c>
    </row>
    <row r="74" spans="1:7" x14ac:dyDescent="0.25">
      <c r="A74" s="12">
        <f t="shared" ca="1" si="0"/>
        <v>45910</v>
      </c>
      <c r="B74" s="1">
        <v>65</v>
      </c>
      <c r="C74" s="1" t="s">
        <v>200</v>
      </c>
      <c r="D74" s="1" t="s">
        <v>137</v>
      </c>
      <c r="E74" s="1">
        <v>202</v>
      </c>
      <c r="F74" s="1" t="s">
        <v>140</v>
      </c>
      <c r="G74" s="1" t="s">
        <v>163</v>
      </c>
    </row>
    <row r="75" spans="1:7" x14ac:dyDescent="0.25">
      <c r="A75" s="12">
        <f t="shared" ref="A75:A109" ca="1" si="1">TODAY()</f>
        <v>45910</v>
      </c>
      <c r="B75" s="1">
        <v>66</v>
      </c>
      <c r="C75" s="1" t="s">
        <v>201</v>
      </c>
      <c r="D75" s="1" t="s">
        <v>136</v>
      </c>
      <c r="E75" s="1">
        <v>111</v>
      </c>
      <c r="F75" s="1" t="s">
        <v>149</v>
      </c>
      <c r="G75" s="1" t="s">
        <v>141</v>
      </c>
    </row>
    <row r="76" spans="1:7" x14ac:dyDescent="0.25">
      <c r="A76" s="12">
        <f t="shared" ca="1" si="1"/>
        <v>45910</v>
      </c>
      <c r="B76" s="1">
        <v>67</v>
      </c>
      <c r="C76" s="1" t="s">
        <v>195</v>
      </c>
      <c r="D76" s="1" t="s">
        <v>126</v>
      </c>
      <c r="E76" s="1">
        <v>372</v>
      </c>
      <c r="F76" s="1" t="s">
        <v>155</v>
      </c>
      <c r="G76" s="1" t="s">
        <v>141</v>
      </c>
    </row>
    <row r="77" spans="1:7" x14ac:dyDescent="0.25">
      <c r="A77" s="12">
        <f t="shared" ca="1" si="1"/>
        <v>45910</v>
      </c>
      <c r="B77" s="1">
        <v>68</v>
      </c>
      <c r="C77" s="1" t="s">
        <v>202</v>
      </c>
      <c r="D77" s="1" t="s">
        <v>152</v>
      </c>
      <c r="E77" s="1">
        <v>396</v>
      </c>
      <c r="F77" s="1" t="s">
        <v>140</v>
      </c>
      <c r="G77" s="1" t="s">
        <v>150</v>
      </c>
    </row>
    <row r="78" spans="1:7" x14ac:dyDescent="0.25">
      <c r="A78" s="12">
        <f t="shared" ca="1" si="1"/>
        <v>45910</v>
      </c>
      <c r="B78" s="1">
        <v>69</v>
      </c>
      <c r="C78" s="1" t="s">
        <v>203</v>
      </c>
      <c r="D78" s="1" t="s">
        <v>138</v>
      </c>
      <c r="E78" s="1">
        <v>178</v>
      </c>
      <c r="F78" s="1" t="s">
        <v>153</v>
      </c>
      <c r="G78" s="1" t="s">
        <v>163</v>
      </c>
    </row>
    <row r="79" spans="1:7" x14ac:dyDescent="0.25">
      <c r="A79" s="12">
        <f t="shared" ca="1" si="1"/>
        <v>45910</v>
      </c>
      <c r="B79" s="1">
        <v>70</v>
      </c>
      <c r="C79" s="1" t="s">
        <v>168</v>
      </c>
      <c r="D79" s="1" t="s">
        <v>126</v>
      </c>
      <c r="E79" s="1">
        <v>245</v>
      </c>
      <c r="F79" s="1" t="s">
        <v>144</v>
      </c>
      <c r="G79" s="1" t="s">
        <v>147</v>
      </c>
    </row>
    <row r="80" spans="1:7" x14ac:dyDescent="0.25">
      <c r="A80" s="12">
        <f t="shared" ca="1" si="1"/>
        <v>45910</v>
      </c>
      <c r="B80" s="1">
        <v>71</v>
      </c>
      <c r="C80" s="1" t="s">
        <v>189</v>
      </c>
      <c r="D80" s="1" t="s">
        <v>137</v>
      </c>
      <c r="E80" s="1">
        <v>6</v>
      </c>
      <c r="F80" s="1" t="s">
        <v>153</v>
      </c>
      <c r="G80" s="1" t="s">
        <v>163</v>
      </c>
    </row>
    <row r="81" spans="1:7" x14ac:dyDescent="0.25">
      <c r="A81" s="12">
        <f t="shared" ca="1" si="1"/>
        <v>45910</v>
      </c>
      <c r="B81" s="1">
        <v>72</v>
      </c>
      <c r="C81" s="1" t="s">
        <v>204</v>
      </c>
      <c r="D81" s="1" t="s">
        <v>143</v>
      </c>
      <c r="E81" s="1">
        <v>440</v>
      </c>
      <c r="F81" s="1" t="s">
        <v>140</v>
      </c>
      <c r="G81" s="1" t="s">
        <v>145</v>
      </c>
    </row>
    <row r="82" spans="1:7" x14ac:dyDescent="0.25">
      <c r="A82" s="12">
        <f t="shared" ca="1" si="1"/>
        <v>45910</v>
      </c>
      <c r="B82" s="1">
        <v>73</v>
      </c>
      <c r="C82" s="1" t="s">
        <v>205</v>
      </c>
      <c r="D82" s="1" t="s">
        <v>126</v>
      </c>
      <c r="E82" s="1">
        <v>51</v>
      </c>
      <c r="F82" s="1" t="s">
        <v>144</v>
      </c>
      <c r="G82" s="1" t="s">
        <v>150</v>
      </c>
    </row>
    <row r="83" spans="1:7" x14ac:dyDescent="0.25">
      <c r="A83" s="12">
        <f t="shared" ca="1" si="1"/>
        <v>45910</v>
      </c>
      <c r="B83" s="1">
        <v>74</v>
      </c>
      <c r="C83" s="1" t="s">
        <v>133</v>
      </c>
      <c r="D83" s="1" t="s">
        <v>143</v>
      </c>
      <c r="E83" s="1">
        <v>93</v>
      </c>
      <c r="F83" s="1" t="s">
        <v>153</v>
      </c>
      <c r="G83" s="1" t="s">
        <v>147</v>
      </c>
    </row>
    <row r="84" spans="1:7" x14ac:dyDescent="0.25">
      <c r="A84" s="12">
        <f t="shared" ca="1" si="1"/>
        <v>45910</v>
      </c>
      <c r="B84" s="1">
        <v>75</v>
      </c>
      <c r="C84" s="1" t="s">
        <v>169</v>
      </c>
      <c r="D84" s="1" t="s">
        <v>138</v>
      </c>
      <c r="E84" s="1">
        <v>35</v>
      </c>
      <c r="F84" s="1" t="s">
        <v>144</v>
      </c>
      <c r="G84" s="1" t="s">
        <v>145</v>
      </c>
    </row>
    <row r="85" spans="1:7" x14ac:dyDescent="0.25">
      <c r="A85" s="12">
        <f t="shared" ca="1" si="1"/>
        <v>45910</v>
      </c>
      <c r="B85" s="1">
        <v>76</v>
      </c>
      <c r="C85" s="1" t="s">
        <v>176</v>
      </c>
      <c r="D85" s="1" t="s">
        <v>126</v>
      </c>
      <c r="E85" s="1">
        <v>107</v>
      </c>
      <c r="F85" s="1" t="s">
        <v>155</v>
      </c>
      <c r="G85" s="1" t="s">
        <v>150</v>
      </c>
    </row>
    <row r="86" spans="1:7" x14ac:dyDescent="0.25">
      <c r="A86" s="12">
        <f t="shared" ca="1" si="1"/>
        <v>45910</v>
      </c>
      <c r="B86" s="1">
        <v>77</v>
      </c>
      <c r="C86" s="1" t="s">
        <v>206</v>
      </c>
      <c r="D86" s="1" t="s">
        <v>152</v>
      </c>
      <c r="E86" s="1">
        <v>171</v>
      </c>
      <c r="F86" s="1" t="s">
        <v>155</v>
      </c>
      <c r="G86" s="1" t="s">
        <v>150</v>
      </c>
    </row>
    <row r="87" spans="1:7" x14ac:dyDescent="0.25">
      <c r="A87" s="12">
        <f t="shared" ca="1" si="1"/>
        <v>45910</v>
      </c>
      <c r="B87" s="1">
        <v>78</v>
      </c>
      <c r="C87" s="1" t="s">
        <v>167</v>
      </c>
      <c r="D87" s="1" t="s">
        <v>137</v>
      </c>
      <c r="E87" s="1">
        <v>299</v>
      </c>
      <c r="F87" s="1" t="s">
        <v>144</v>
      </c>
      <c r="G87" s="1" t="s">
        <v>145</v>
      </c>
    </row>
    <row r="88" spans="1:7" x14ac:dyDescent="0.25">
      <c r="A88" s="12">
        <f t="shared" ca="1" si="1"/>
        <v>45910</v>
      </c>
      <c r="B88" s="1">
        <v>79</v>
      </c>
      <c r="C88" s="1" t="s">
        <v>207</v>
      </c>
      <c r="D88" s="1" t="s">
        <v>137</v>
      </c>
      <c r="E88" s="1">
        <v>452</v>
      </c>
      <c r="F88" s="1" t="s">
        <v>153</v>
      </c>
      <c r="G88" s="1" t="s">
        <v>163</v>
      </c>
    </row>
    <row r="89" spans="1:7" x14ac:dyDescent="0.25">
      <c r="A89" s="12">
        <f t="shared" ca="1" si="1"/>
        <v>45910</v>
      </c>
      <c r="B89" s="1">
        <v>80</v>
      </c>
      <c r="C89" s="1" t="s">
        <v>158</v>
      </c>
      <c r="D89" s="1" t="s">
        <v>137</v>
      </c>
      <c r="E89" s="1">
        <v>70</v>
      </c>
      <c r="F89" s="1" t="s">
        <v>149</v>
      </c>
      <c r="G89" s="1" t="s">
        <v>150</v>
      </c>
    </row>
    <row r="90" spans="1:7" x14ac:dyDescent="0.25">
      <c r="A90" s="12">
        <f t="shared" ca="1" si="1"/>
        <v>45910</v>
      </c>
      <c r="B90" s="1">
        <v>81</v>
      </c>
      <c r="C90" s="1" t="s">
        <v>166</v>
      </c>
      <c r="D90" s="1" t="s">
        <v>152</v>
      </c>
      <c r="E90" s="1">
        <v>478</v>
      </c>
      <c r="F90" s="1" t="s">
        <v>153</v>
      </c>
      <c r="G90" s="1" t="s">
        <v>163</v>
      </c>
    </row>
    <row r="91" spans="1:7" x14ac:dyDescent="0.25">
      <c r="A91" s="12">
        <f t="shared" ca="1" si="1"/>
        <v>45910</v>
      </c>
      <c r="B91" s="1">
        <v>82</v>
      </c>
      <c r="C91" s="1" t="s">
        <v>154</v>
      </c>
      <c r="D91" s="1" t="s">
        <v>126</v>
      </c>
      <c r="E91" s="1">
        <v>164</v>
      </c>
      <c r="F91" s="1" t="s">
        <v>155</v>
      </c>
      <c r="G91" s="1" t="s">
        <v>163</v>
      </c>
    </row>
    <row r="92" spans="1:7" x14ac:dyDescent="0.25">
      <c r="A92" s="12">
        <f t="shared" ca="1" si="1"/>
        <v>45910</v>
      </c>
      <c r="B92" s="1">
        <v>83</v>
      </c>
      <c r="C92" s="1" t="s">
        <v>180</v>
      </c>
      <c r="D92" s="1" t="s">
        <v>152</v>
      </c>
      <c r="E92" s="1">
        <v>130</v>
      </c>
      <c r="F92" s="1" t="s">
        <v>153</v>
      </c>
      <c r="G92" s="1" t="s">
        <v>147</v>
      </c>
    </row>
    <row r="93" spans="1:7" x14ac:dyDescent="0.25">
      <c r="A93" s="12">
        <f t="shared" ca="1" si="1"/>
        <v>45910</v>
      </c>
      <c r="B93" s="1">
        <v>84</v>
      </c>
      <c r="C93" s="1" t="s">
        <v>208</v>
      </c>
      <c r="D93" s="1" t="s">
        <v>152</v>
      </c>
      <c r="E93" s="1">
        <v>120</v>
      </c>
      <c r="F93" s="1" t="s">
        <v>155</v>
      </c>
      <c r="G93" s="1" t="s">
        <v>147</v>
      </c>
    </row>
    <row r="94" spans="1:7" x14ac:dyDescent="0.25">
      <c r="A94" s="12">
        <f t="shared" ca="1" si="1"/>
        <v>45910</v>
      </c>
      <c r="B94" s="1">
        <v>85</v>
      </c>
      <c r="C94" s="1" t="s">
        <v>209</v>
      </c>
      <c r="D94" s="1" t="s">
        <v>138</v>
      </c>
      <c r="E94" s="1">
        <v>18</v>
      </c>
      <c r="F94" s="1" t="s">
        <v>155</v>
      </c>
      <c r="G94" s="1" t="s">
        <v>150</v>
      </c>
    </row>
    <row r="95" spans="1:7" x14ac:dyDescent="0.25">
      <c r="A95" s="12">
        <f t="shared" ca="1" si="1"/>
        <v>45910</v>
      </c>
      <c r="B95" s="1">
        <v>86</v>
      </c>
      <c r="C95" s="1" t="s">
        <v>210</v>
      </c>
      <c r="D95" s="1" t="s">
        <v>152</v>
      </c>
      <c r="E95" s="1">
        <v>478</v>
      </c>
      <c r="F95" s="1" t="s">
        <v>153</v>
      </c>
      <c r="G95" s="1" t="s">
        <v>150</v>
      </c>
    </row>
    <row r="96" spans="1:7" x14ac:dyDescent="0.25">
      <c r="A96" s="12">
        <f t="shared" ca="1" si="1"/>
        <v>45910</v>
      </c>
      <c r="B96" s="1">
        <v>87</v>
      </c>
      <c r="C96" s="1" t="s">
        <v>211</v>
      </c>
      <c r="D96" s="1" t="s">
        <v>136</v>
      </c>
      <c r="E96" s="1">
        <v>218</v>
      </c>
      <c r="F96" s="1" t="s">
        <v>149</v>
      </c>
      <c r="G96" s="1" t="s">
        <v>147</v>
      </c>
    </row>
    <row r="97" spans="1:7" x14ac:dyDescent="0.25">
      <c r="A97" s="12">
        <f t="shared" ca="1" si="1"/>
        <v>45910</v>
      </c>
      <c r="B97" s="1">
        <v>88</v>
      </c>
      <c r="C97" s="1" t="s">
        <v>212</v>
      </c>
      <c r="D97" s="1" t="s">
        <v>126</v>
      </c>
      <c r="E97" s="1">
        <v>166</v>
      </c>
      <c r="F97" s="1" t="s">
        <v>153</v>
      </c>
      <c r="G97" s="1" t="s">
        <v>141</v>
      </c>
    </row>
    <row r="98" spans="1:7" x14ac:dyDescent="0.25">
      <c r="A98" s="12">
        <f t="shared" ca="1" si="1"/>
        <v>45910</v>
      </c>
      <c r="B98" s="1">
        <v>89</v>
      </c>
      <c r="C98" s="1" t="s">
        <v>166</v>
      </c>
      <c r="D98" s="1" t="s">
        <v>136</v>
      </c>
      <c r="E98" s="1">
        <v>396</v>
      </c>
      <c r="F98" s="1" t="s">
        <v>140</v>
      </c>
      <c r="G98" s="1" t="s">
        <v>145</v>
      </c>
    </row>
    <row r="99" spans="1:7" x14ac:dyDescent="0.25">
      <c r="A99" s="12">
        <f t="shared" ca="1" si="1"/>
        <v>45910</v>
      </c>
      <c r="B99" s="1">
        <v>90</v>
      </c>
      <c r="C99" s="1" t="s">
        <v>182</v>
      </c>
      <c r="D99" s="1" t="s">
        <v>126</v>
      </c>
      <c r="E99" s="1">
        <v>57</v>
      </c>
      <c r="F99" s="1" t="s">
        <v>155</v>
      </c>
      <c r="G99" s="1" t="s">
        <v>163</v>
      </c>
    </row>
    <row r="100" spans="1:7" x14ac:dyDescent="0.25">
      <c r="A100" s="12">
        <f t="shared" ca="1" si="1"/>
        <v>45910</v>
      </c>
      <c r="B100" s="1">
        <v>91</v>
      </c>
      <c r="C100" s="1" t="s">
        <v>178</v>
      </c>
      <c r="D100" s="1" t="s">
        <v>136</v>
      </c>
      <c r="E100" s="1">
        <v>205</v>
      </c>
      <c r="F100" s="1" t="s">
        <v>153</v>
      </c>
      <c r="G100" s="1" t="s">
        <v>145</v>
      </c>
    </row>
    <row r="101" spans="1:7" x14ac:dyDescent="0.25">
      <c r="A101" s="12">
        <f t="shared" ca="1" si="1"/>
        <v>45910</v>
      </c>
      <c r="B101" s="1">
        <v>92</v>
      </c>
      <c r="C101" s="1" t="s">
        <v>201</v>
      </c>
      <c r="D101" s="1" t="s">
        <v>126</v>
      </c>
      <c r="E101" s="1">
        <v>361</v>
      </c>
      <c r="F101" s="1" t="s">
        <v>140</v>
      </c>
      <c r="G101" s="1" t="s">
        <v>163</v>
      </c>
    </row>
    <row r="102" spans="1:7" x14ac:dyDescent="0.25">
      <c r="A102" s="12">
        <f t="shared" ca="1" si="1"/>
        <v>45910</v>
      </c>
      <c r="B102" s="1">
        <v>93</v>
      </c>
      <c r="C102" s="1" t="s">
        <v>168</v>
      </c>
      <c r="D102" s="1" t="s">
        <v>143</v>
      </c>
      <c r="E102" s="1">
        <v>414</v>
      </c>
      <c r="F102" s="1" t="s">
        <v>144</v>
      </c>
      <c r="G102" s="1" t="s">
        <v>147</v>
      </c>
    </row>
    <row r="103" spans="1:7" x14ac:dyDescent="0.25">
      <c r="A103" s="12">
        <f t="shared" ca="1" si="1"/>
        <v>45910</v>
      </c>
      <c r="B103" s="1">
        <v>94</v>
      </c>
      <c r="C103" s="1" t="s">
        <v>186</v>
      </c>
      <c r="D103" s="1" t="s">
        <v>136</v>
      </c>
      <c r="E103" s="1">
        <v>139</v>
      </c>
      <c r="F103" s="1" t="s">
        <v>140</v>
      </c>
      <c r="G103" s="1" t="s">
        <v>150</v>
      </c>
    </row>
    <row r="104" spans="1:7" x14ac:dyDescent="0.25">
      <c r="A104" s="12">
        <f t="shared" ca="1" si="1"/>
        <v>45910</v>
      </c>
      <c r="B104" s="1">
        <v>95</v>
      </c>
      <c r="C104" s="1" t="s">
        <v>213</v>
      </c>
      <c r="D104" s="1" t="s">
        <v>143</v>
      </c>
      <c r="E104" s="1">
        <v>215</v>
      </c>
      <c r="F104" s="1" t="s">
        <v>149</v>
      </c>
      <c r="G104" s="1" t="s">
        <v>163</v>
      </c>
    </row>
    <row r="105" spans="1:7" x14ac:dyDescent="0.25">
      <c r="A105" s="12">
        <f t="shared" ca="1" si="1"/>
        <v>45910</v>
      </c>
      <c r="B105" s="1">
        <v>96</v>
      </c>
      <c r="C105" s="1" t="s">
        <v>205</v>
      </c>
      <c r="D105" s="1" t="s">
        <v>137</v>
      </c>
      <c r="E105" s="1">
        <v>470</v>
      </c>
      <c r="F105" s="1" t="s">
        <v>144</v>
      </c>
      <c r="G105" s="1" t="s">
        <v>141</v>
      </c>
    </row>
    <row r="106" spans="1:7" x14ac:dyDescent="0.25">
      <c r="A106" s="12">
        <f t="shared" ca="1" si="1"/>
        <v>45910</v>
      </c>
      <c r="B106" s="1">
        <v>97</v>
      </c>
      <c r="C106" s="1" t="s">
        <v>158</v>
      </c>
      <c r="D106" s="1" t="s">
        <v>138</v>
      </c>
      <c r="E106" s="1">
        <v>218</v>
      </c>
      <c r="F106" s="1" t="s">
        <v>140</v>
      </c>
      <c r="G106" s="1" t="s">
        <v>163</v>
      </c>
    </row>
    <row r="107" spans="1:7" x14ac:dyDescent="0.25">
      <c r="A107" s="12">
        <f t="shared" ca="1" si="1"/>
        <v>45910</v>
      </c>
      <c r="B107" s="1">
        <v>98</v>
      </c>
      <c r="C107" s="1" t="s">
        <v>176</v>
      </c>
      <c r="D107" s="1" t="s">
        <v>152</v>
      </c>
      <c r="E107" s="1">
        <v>330</v>
      </c>
      <c r="F107" s="1" t="s">
        <v>149</v>
      </c>
      <c r="G107" s="1" t="s">
        <v>163</v>
      </c>
    </row>
    <row r="108" spans="1:7" x14ac:dyDescent="0.25">
      <c r="A108" s="12">
        <f t="shared" ca="1" si="1"/>
        <v>45910</v>
      </c>
      <c r="B108" s="1">
        <v>99</v>
      </c>
      <c r="C108" s="1" t="s">
        <v>148</v>
      </c>
      <c r="D108" s="1" t="s">
        <v>126</v>
      </c>
      <c r="E108" s="1">
        <v>397</v>
      </c>
      <c r="F108" s="1" t="s">
        <v>140</v>
      </c>
      <c r="G108" s="1" t="s">
        <v>163</v>
      </c>
    </row>
    <row r="109" spans="1:7" x14ac:dyDescent="0.25">
      <c r="A109" s="12">
        <f t="shared" ca="1" si="1"/>
        <v>45910</v>
      </c>
      <c r="B109" s="1">
        <v>100</v>
      </c>
      <c r="C109" s="1" t="s">
        <v>214</v>
      </c>
      <c r="D109" s="1" t="s">
        <v>152</v>
      </c>
      <c r="E109" s="1">
        <v>363</v>
      </c>
      <c r="F109" s="1" t="s">
        <v>149</v>
      </c>
      <c r="G109" s="1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Fornecedores</vt:lpstr>
      <vt:lpstr>Produtos</vt:lpstr>
      <vt:lpstr>Saída</vt:lpstr>
      <vt:lpstr>Clientes</vt:lpstr>
      <vt:lpstr>Modelagem</vt:lpstr>
      <vt:lpstr>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airton junior</dc:creator>
  <cp:lastModifiedBy>airton junior</cp:lastModifiedBy>
  <dcterms:created xsi:type="dcterms:W3CDTF">2025-09-04T00:08:31Z</dcterms:created>
  <dcterms:modified xsi:type="dcterms:W3CDTF">2025-09-11T01:02:24Z</dcterms:modified>
</cp:coreProperties>
</file>